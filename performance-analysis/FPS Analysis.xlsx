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ULTRAPC\Desktop\"/>
    </mc:Choice>
  </mc:AlternateContent>
  <xr:revisionPtr revIDLastSave="0" documentId="13_ncr:1_{FD7E441A-DC9B-47BD-A093-DE15A799677A}" xr6:coauthVersionLast="47" xr6:coauthVersionMax="47" xr10:uidLastSave="{00000000-0000-0000-0000-000000000000}"/>
  <bookViews>
    <workbookView xWindow="-120" yWindow="-120" windowWidth="29040" windowHeight="15840" xr2:uid="{00000000-000D-0000-FFFF-FFFF00000000}"/>
  </bookViews>
  <sheets>
    <sheet name="1. Test Setup" sheetId="1" r:id="rId1"/>
    <sheet name="2. Glossary" sheetId="2" r:id="rId2"/>
    <sheet name="3. Raw Data" sheetId="3" r:id="rId3"/>
    <sheet name="4. Statistical Analysis" sheetId="4" r:id="rId4"/>
    <sheet name="5. Graphs" sheetId="5" r:id="rId5"/>
    <sheet name="6. Verdicts" sheetId="6" r:id="rId6"/>
  </sheets>
  <definedNames>
    <definedName name="_xlnm._FilterDatabase" localSheetId="2" hidden="1">'3. Raw Data'!$A$1:$T$196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8" i="6" l="1"/>
  <c r="D48" i="6"/>
  <c r="F46" i="6"/>
  <c r="G45" i="6"/>
  <c r="D44" i="6"/>
  <c r="F43" i="6"/>
  <c r="G41" i="6"/>
  <c r="D41" i="6"/>
  <c r="H40" i="6"/>
  <c r="G38" i="6"/>
  <c r="F38" i="6"/>
  <c r="H36" i="6"/>
  <c r="D36" i="6"/>
  <c r="F34" i="6"/>
  <c r="G33" i="6"/>
  <c r="D32" i="6"/>
  <c r="F31" i="6"/>
  <c r="G29" i="6"/>
  <c r="D29" i="6"/>
  <c r="H28" i="6"/>
  <c r="G26" i="6"/>
  <c r="F26" i="6"/>
  <c r="H24" i="6"/>
  <c r="E24" i="6"/>
  <c r="D24" i="6"/>
  <c r="F22" i="6"/>
  <c r="G21" i="6"/>
  <c r="D20" i="6"/>
  <c r="F19" i="6"/>
  <c r="G17" i="6"/>
  <c r="D17" i="6"/>
  <c r="H16" i="6"/>
  <c r="G14" i="6"/>
  <c r="F14" i="6"/>
  <c r="H12" i="6"/>
  <c r="D12" i="6"/>
  <c r="T48" i="4"/>
  <c r="U48" i="4" s="1"/>
  <c r="S48" i="4"/>
  <c r="E49" i="6" s="1"/>
  <c r="Q48" i="4"/>
  <c r="P48" i="4"/>
  <c r="O48" i="4"/>
  <c r="N48" i="4"/>
  <c r="M48" i="4"/>
  <c r="L48" i="4"/>
  <c r="K48" i="4"/>
  <c r="G49" i="6" s="1"/>
  <c r="J48" i="4"/>
  <c r="F49" i="6" s="1"/>
  <c r="I48" i="4"/>
  <c r="H48" i="4"/>
  <c r="G48" i="4"/>
  <c r="V48" i="4" s="1"/>
  <c r="H49" i="6" s="1"/>
  <c r="F48" i="4"/>
  <c r="E48" i="4"/>
  <c r="D49" i="6" s="1"/>
  <c r="V47" i="4"/>
  <c r="U47" i="4"/>
  <c r="T47" i="4"/>
  <c r="Q47" i="4"/>
  <c r="P47" i="4"/>
  <c r="O47" i="4"/>
  <c r="N47" i="4"/>
  <c r="M47" i="4"/>
  <c r="L47" i="4"/>
  <c r="K47" i="4"/>
  <c r="G48" i="6" s="1"/>
  <c r="J47" i="4"/>
  <c r="F48" i="6" s="1"/>
  <c r="I47" i="4"/>
  <c r="H47" i="4"/>
  <c r="G47" i="4"/>
  <c r="F47" i="4"/>
  <c r="E47" i="4"/>
  <c r="R47" i="4" s="1"/>
  <c r="T46" i="4"/>
  <c r="U46" i="4" s="1"/>
  <c r="S46" i="4"/>
  <c r="E47" i="6" s="1"/>
  <c r="Q46" i="4"/>
  <c r="P46" i="4"/>
  <c r="O46" i="4"/>
  <c r="N46" i="4"/>
  <c r="M46" i="4"/>
  <c r="L46" i="4"/>
  <c r="K46" i="4"/>
  <c r="G47" i="6" s="1"/>
  <c r="J46" i="4"/>
  <c r="F47" i="6" s="1"/>
  <c r="I46" i="4"/>
  <c r="H46" i="4"/>
  <c r="G46" i="4"/>
  <c r="V46" i="4" s="1"/>
  <c r="H47" i="6" s="1"/>
  <c r="F46" i="4"/>
  <c r="E46" i="4"/>
  <c r="D47" i="6" s="1"/>
  <c r="V45" i="4"/>
  <c r="H46" i="6" s="1"/>
  <c r="U45" i="4"/>
  <c r="T45" i="4"/>
  <c r="Q45" i="4"/>
  <c r="P45" i="4"/>
  <c r="O45" i="4"/>
  <c r="N45" i="4"/>
  <c r="M45" i="4"/>
  <c r="L45" i="4"/>
  <c r="K45" i="4"/>
  <c r="G46" i="6" s="1"/>
  <c r="J45" i="4"/>
  <c r="I45" i="4"/>
  <c r="H45" i="4"/>
  <c r="G45" i="4"/>
  <c r="F45" i="4"/>
  <c r="E45" i="4"/>
  <c r="D46" i="6" s="1"/>
  <c r="T44" i="4"/>
  <c r="U44" i="4" s="1"/>
  <c r="S44" i="4"/>
  <c r="E45" i="6" s="1"/>
  <c r="Q44" i="4"/>
  <c r="P44" i="4"/>
  <c r="O44" i="4"/>
  <c r="N44" i="4"/>
  <c r="M44" i="4"/>
  <c r="L44" i="4"/>
  <c r="K44" i="4"/>
  <c r="J44" i="4"/>
  <c r="F45" i="6" s="1"/>
  <c r="I44" i="4"/>
  <c r="H44" i="4"/>
  <c r="G44" i="4"/>
  <c r="V44" i="4" s="1"/>
  <c r="H45" i="6" s="1"/>
  <c r="F44" i="4"/>
  <c r="E44" i="4"/>
  <c r="D45" i="6" s="1"/>
  <c r="V43" i="4"/>
  <c r="H44" i="6" s="1"/>
  <c r="T43" i="4"/>
  <c r="U43" i="4" s="1"/>
  <c r="Q43" i="4"/>
  <c r="P43" i="4"/>
  <c r="O43" i="4"/>
  <c r="N43" i="4"/>
  <c r="M43" i="4"/>
  <c r="L43" i="4"/>
  <c r="K43" i="4"/>
  <c r="G44" i="6" s="1"/>
  <c r="J43" i="4"/>
  <c r="F44" i="6" s="1"/>
  <c r="I43" i="4"/>
  <c r="H43" i="4"/>
  <c r="G43" i="4"/>
  <c r="F43" i="4"/>
  <c r="E43" i="4"/>
  <c r="T42" i="4"/>
  <c r="U42" i="4" s="1"/>
  <c r="S42" i="4"/>
  <c r="E43" i="6" s="1"/>
  <c r="Q42" i="4"/>
  <c r="P42" i="4"/>
  <c r="O42" i="4"/>
  <c r="N42" i="4"/>
  <c r="M42" i="4"/>
  <c r="L42" i="4"/>
  <c r="K42" i="4"/>
  <c r="G43" i="6" s="1"/>
  <c r="J42" i="4"/>
  <c r="I42" i="4"/>
  <c r="H42" i="4"/>
  <c r="G42" i="4"/>
  <c r="V42" i="4" s="1"/>
  <c r="H43" i="6" s="1"/>
  <c r="F42" i="4"/>
  <c r="E42" i="4"/>
  <c r="D43" i="6" s="1"/>
  <c r="V41" i="4"/>
  <c r="H42" i="6" s="1"/>
  <c r="T41" i="4"/>
  <c r="U41" i="4" s="1"/>
  <c r="Q41" i="4"/>
  <c r="P41" i="4"/>
  <c r="O41" i="4"/>
  <c r="N41" i="4"/>
  <c r="M41" i="4"/>
  <c r="L41" i="4"/>
  <c r="K41" i="4"/>
  <c r="G42" i="6" s="1"/>
  <c r="J41" i="4"/>
  <c r="F42" i="6" s="1"/>
  <c r="I41" i="4"/>
  <c r="H41" i="4"/>
  <c r="G41" i="4"/>
  <c r="F41" i="4"/>
  <c r="E41" i="4"/>
  <c r="D42" i="6" s="1"/>
  <c r="T40" i="4"/>
  <c r="U40" i="4" s="1"/>
  <c r="S40" i="4"/>
  <c r="E41" i="6" s="1"/>
  <c r="Q40" i="4"/>
  <c r="P40" i="4"/>
  <c r="O40" i="4"/>
  <c r="N40" i="4"/>
  <c r="M40" i="4"/>
  <c r="L40" i="4"/>
  <c r="K40" i="4"/>
  <c r="J40" i="4"/>
  <c r="F41" i="6" s="1"/>
  <c r="I40" i="4"/>
  <c r="H40" i="4"/>
  <c r="G40" i="4"/>
  <c r="V40" i="4" s="1"/>
  <c r="H41" i="6" s="1"/>
  <c r="F40" i="4"/>
  <c r="E40" i="4"/>
  <c r="V39" i="4"/>
  <c r="T39" i="4"/>
  <c r="U39" i="4" s="1"/>
  <c r="Q39" i="4"/>
  <c r="P39" i="4"/>
  <c r="O39" i="4"/>
  <c r="N39" i="4"/>
  <c r="M39" i="4"/>
  <c r="L39" i="4"/>
  <c r="K39" i="4"/>
  <c r="G40" i="6" s="1"/>
  <c r="J39" i="4"/>
  <c r="F40" i="6" s="1"/>
  <c r="I39" i="4"/>
  <c r="H39" i="4"/>
  <c r="G39" i="4"/>
  <c r="F39" i="4"/>
  <c r="E39" i="4"/>
  <c r="D40" i="6" s="1"/>
  <c r="T38" i="4"/>
  <c r="U38" i="4" s="1"/>
  <c r="S38" i="4"/>
  <c r="E39" i="6" s="1"/>
  <c r="Q38" i="4"/>
  <c r="P38" i="4"/>
  <c r="O38" i="4"/>
  <c r="N38" i="4"/>
  <c r="M38" i="4"/>
  <c r="L38" i="4"/>
  <c r="K38" i="4"/>
  <c r="G39" i="6" s="1"/>
  <c r="J38" i="4"/>
  <c r="F39" i="6" s="1"/>
  <c r="I38" i="4"/>
  <c r="H38" i="4"/>
  <c r="G38" i="4"/>
  <c r="V38" i="4" s="1"/>
  <c r="H39" i="6" s="1"/>
  <c r="F38" i="4"/>
  <c r="E38" i="4"/>
  <c r="D39" i="6" s="1"/>
  <c r="V37" i="4"/>
  <c r="H38" i="6" s="1"/>
  <c r="T37" i="4"/>
  <c r="U37" i="4" s="1"/>
  <c r="Q37" i="4"/>
  <c r="P37" i="4"/>
  <c r="O37" i="4"/>
  <c r="N37" i="4"/>
  <c r="M37" i="4"/>
  <c r="L37" i="4"/>
  <c r="K37" i="4"/>
  <c r="J37" i="4"/>
  <c r="I37" i="4"/>
  <c r="H37" i="4"/>
  <c r="G37" i="4"/>
  <c r="F37" i="4"/>
  <c r="E37" i="4"/>
  <c r="D38" i="6" s="1"/>
  <c r="T36" i="4"/>
  <c r="U36" i="4" s="1"/>
  <c r="S36" i="4"/>
  <c r="E37" i="6" s="1"/>
  <c r="Q36" i="4"/>
  <c r="P36" i="4"/>
  <c r="O36" i="4"/>
  <c r="N36" i="4"/>
  <c r="M36" i="4"/>
  <c r="L36" i="4"/>
  <c r="K36" i="4"/>
  <c r="G37" i="6" s="1"/>
  <c r="J36" i="4"/>
  <c r="F37" i="6" s="1"/>
  <c r="I36" i="4"/>
  <c r="H36" i="4"/>
  <c r="G36" i="4"/>
  <c r="V36" i="4" s="1"/>
  <c r="H37" i="6" s="1"/>
  <c r="F36" i="4"/>
  <c r="E36" i="4"/>
  <c r="D37" i="6" s="1"/>
  <c r="V35" i="4"/>
  <c r="T35" i="4"/>
  <c r="U35" i="4" s="1"/>
  <c r="Q35" i="4"/>
  <c r="P35" i="4"/>
  <c r="O35" i="4"/>
  <c r="N35" i="4"/>
  <c r="M35" i="4"/>
  <c r="L35" i="4"/>
  <c r="K35" i="4"/>
  <c r="G36" i="6" s="1"/>
  <c r="J35" i="4"/>
  <c r="F36" i="6" s="1"/>
  <c r="I35" i="4"/>
  <c r="H35" i="4"/>
  <c r="G35" i="4"/>
  <c r="F35" i="4"/>
  <c r="E35" i="4"/>
  <c r="T34" i="4"/>
  <c r="U34" i="4" s="1"/>
  <c r="S34" i="4"/>
  <c r="E35" i="6" s="1"/>
  <c r="Q34" i="4"/>
  <c r="P34" i="4"/>
  <c r="O34" i="4"/>
  <c r="N34" i="4"/>
  <c r="M34" i="4"/>
  <c r="L34" i="4"/>
  <c r="K34" i="4"/>
  <c r="G35" i="6" s="1"/>
  <c r="J34" i="4"/>
  <c r="F35" i="6" s="1"/>
  <c r="I34" i="4"/>
  <c r="H34" i="4"/>
  <c r="G34" i="4"/>
  <c r="V34" i="4" s="1"/>
  <c r="H35" i="6" s="1"/>
  <c r="F34" i="4"/>
  <c r="E34" i="4"/>
  <c r="D35" i="6" s="1"/>
  <c r="V33" i="4"/>
  <c r="H34" i="6" s="1"/>
  <c r="T33" i="4"/>
  <c r="U33" i="4" s="1"/>
  <c r="Q33" i="4"/>
  <c r="P33" i="4"/>
  <c r="O33" i="4"/>
  <c r="N33" i="4"/>
  <c r="M33" i="4"/>
  <c r="L33" i="4"/>
  <c r="K33" i="4"/>
  <c r="G34" i="6" s="1"/>
  <c r="J33" i="4"/>
  <c r="I33" i="4"/>
  <c r="H33" i="4"/>
  <c r="G33" i="4"/>
  <c r="F33" i="4"/>
  <c r="E33" i="4"/>
  <c r="D34" i="6" s="1"/>
  <c r="T32" i="4"/>
  <c r="U32" i="4" s="1"/>
  <c r="S32" i="4"/>
  <c r="E33" i="6" s="1"/>
  <c r="Q32" i="4"/>
  <c r="P32" i="4"/>
  <c r="O32" i="4"/>
  <c r="N32" i="4"/>
  <c r="M32" i="4"/>
  <c r="L32" i="4"/>
  <c r="K32" i="4"/>
  <c r="J32" i="4"/>
  <c r="F33" i="6" s="1"/>
  <c r="I32" i="4"/>
  <c r="H32" i="4"/>
  <c r="G32" i="4"/>
  <c r="V32" i="4" s="1"/>
  <c r="H33" i="6" s="1"/>
  <c r="F32" i="4"/>
  <c r="E32" i="4"/>
  <c r="D33" i="6" s="1"/>
  <c r="V31" i="4"/>
  <c r="H32" i="6" s="1"/>
  <c r="T31" i="4"/>
  <c r="U31" i="4" s="1"/>
  <c r="Q31" i="4"/>
  <c r="P31" i="4"/>
  <c r="O31" i="4"/>
  <c r="N31" i="4"/>
  <c r="M31" i="4"/>
  <c r="L31" i="4"/>
  <c r="K31" i="4"/>
  <c r="G32" i="6" s="1"/>
  <c r="J31" i="4"/>
  <c r="F32" i="6" s="1"/>
  <c r="I31" i="4"/>
  <c r="H31" i="4"/>
  <c r="G31" i="4"/>
  <c r="F31" i="4"/>
  <c r="E31" i="4"/>
  <c r="T30" i="4"/>
  <c r="U30" i="4" s="1"/>
  <c r="S30" i="4"/>
  <c r="E31" i="6" s="1"/>
  <c r="Q30" i="4"/>
  <c r="P30" i="4"/>
  <c r="O30" i="4"/>
  <c r="N30" i="4"/>
  <c r="M30" i="4"/>
  <c r="L30" i="4"/>
  <c r="K30" i="4"/>
  <c r="G31" i="6" s="1"/>
  <c r="J30" i="4"/>
  <c r="I30" i="4"/>
  <c r="H30" i="4"/>
  <c r="G30" i="4"/>
  <c r="V30" i="4" s="1"/>
  <c r="H31" i="6" s="1"/>
  <c r="F30" i="4"/>
  <c r="E30" i="4"/>
  <c r="D31" i="6" s="1"/>
  <c r="V29" i="4"/>
  <c r="H30" i="6" s="1"/>
  <c r="T29" i="4"/>
  <c r="U29" i="4" s="1"/>
  <c r="Q29" i="4"/>
  <c r="P29" i="4"/>
  <c r="O29" i="4"/>
  <c r="N29" i="4"/>
  <c r="M29" i="4"/>
  <c r="L29" i="4"/>
  <c r="K29" i="4"/>
  <c r="G30" i="6" s="1"/>
  <c r="J29" i="4"/>
  <c r="F30" i="6" s="1"/>
  <c r="I29" i="4"/>
  <c r="H29" i="4"/>
  <c r="G29" i="4"/>
  <c r="F29" i="4"/>
  <c r="E29" i="4"/>
  <c r="D30" i="6" s="1"/>
  <c r="T28" i="4"/>
  <c r="U28" i="4" s="1"/>
  <c r="S28" i="4"/>
  <c r="E29" i="6" s="1"/>
  <c r="Q28" i="4"/>
  <c r="P28" i="4"/>
  <c r="O28" i="4"/>
  <c r="N28" i="4"/>
  <c r="M28" i="4"/>
  <c r="L28" i="4"/>
  <c r="K28" i="4"/>
  <c r="J28" i="4"/>
  <c r="F29" i="6" s="1"/>
  <c r="I28" i="4"/>
  <c r="H28" i="4"/>
  <c r="G28" i="4"/>
  <c r="V28" i="4" s="1"/>
  <c r="H29" i="6" s="1"/>
  <c r="F28" i="4"/>
  <c r="E28" i="4"/>
  <c r="V27" i="4"/>
  <c r="T27" i="4"/>
  <c r="U27" i="4" s="1"/>
  <c r="Q27" i="4"/>
  <c r="P27" i="4"/>
  <c r="O27" i="4"/>
  <c r="N27" i="4"/>
  <c r="M27" i="4"/>
  <c r="L27" i="4"/>
  <c r="K27" i="4"/>
  <c r="G28" i="6" s="1"/>
  <c r="J27" i="4"/>
  <c r="F28" i="6" s="1"/>
  <c r="I27" i="4"/>
  <c r="H27" i="4"/>
  <c r="G27" i="4"/>
  <c r="F27" i="4"/>
  <c r="E27" i="4"/>
  <c r="D28" i="6" s="1"/>
  <c r="T26" i="4"/>
  <c r="U26" i="4" s="1"/>
  <c r="S26" i="4"/>
  <c r="E27" i="6" s="1"/>
  <c r="Q26" i="4"/>
  <c r="P26" i="4"/>
  <c r="O26" i="4"/>
  <c r="N26" i="4"/>
  <c r="M26" i="4"/>
  <c r="L26" i="4"/>
  <c r="K26" i="4"/>
  <c r="G27" i="6" s="1"/>
  <c r="J26" i="4"/>
  <c r="F27" i="6" s="1"/>
  <c r="I26" i="4"/>
  <c r="H26" i="4"/>
  <c r="G26" i="4"/>
  <c r="V26" i="4" s="1"/>
  <c r="H27" i="6" s="1"/>
  <c r="F26" i="4"/>
  <c r="E26" i="4"/>
  <c r="D27" i="6" s="1"/>
  <c r="V25" i="4"/>
  <c r="H26" i="6" s="1"/>
  <c r="T25" i="4"/>
  <c r="U25" i="4" s="1"/>
  <c r="S25" i="4"/>
  <c r="E26" i="6" s="1"/>
  <c r="Q25" i="4"/>
  <c r="P25" i="4"/>
  <c r="O25" i="4"/>
  <c r="N25" i="4"/>
  <c r="M25" i="4"/>
  <c r="L25" i="4"/>
  <c r="K25" i="4"/>
  <c r="J25" i="4"/>
  <c r="I25" i="4"/>
  <c r="H25" i="4"/>
  <c r="G25" i="4"/>
  <c r="F25" i="4"/>
  <c r="E25" i="4"/>
  <c r="D26" i="6" s="1"/>
  <c r="T24" i="4"/>
  <c r="U24" i="4" s="1"/>
  <c r="S24" i="4"/>
  <c r="E25" i="6" s="1"/>
  <c r="Q24" i="4"/>
  <c r="P24" i="4"/>
  <c r="O24" i="4"/>
  <c r="N24" i="4"/>
  <c r="M24" i="4"/>
  <c r="L24" i="4"/>
  <c r="K24" i="4"/>
  <c r="G25" i="6" s="1"/>
  <c r="J24" i="4"/>
  <c r="F25" i="6" s="1"/>
  <c r="I24" i="4"/>
  <c r="H24" i="4"/>
  <c r="G24" i="4"/>
  <c r="V24" i="4" s="1"/>
  <c r="H25" i="6" s="1"/>
  <c r="F24" i="4"/>
  <c r="E24" i="4"/>
  <c r="D25" i="6" s="1"/>
  <c r="V23" i="4"/>
  <c r="T23" i="4"/>
  <c r="U23" i="4" s="1"/>
  <c r="S23" i="4"/>
  <c r="Q23" i="4"/>
  <c r="P23" i="4"/>
  <c r="O23" i="4"/>
  <c r="N23" i="4"/>
  <c r="M23" i="4"/>
  <c r="L23" i="4"/>
  <c r="K23" i="4"/>
  <c r="G24" i="6" s="1"/>
  <c r="J23" i="4"/>
  <c r="F24" i="6" s="1"/>
  <c r="I23" i="4"/>
  <c r="H23" i="4"/>
  <c r="G23" i="4"/>
  <c r="F23" i="4"/>
  <c r="E23" i="4"/>
  <c r="R23" i="4" s="1"/>
  <c r="T22" i="4"/>
  <c r="U22" i="4" s="1"/>
  <c r="S22" i="4"/>
  <c r="E23" i="6" s="1"/>
  <c r="Q22" i="4"/>
  <c r="P22" i="4"/>
  <c r="O22" i="4"/>
  <c r="N22" i="4"/>
  <c r="M22" i="4"/>
  <c r="L22" i="4"/>
  <c r="K22" i="4"/>
  <c r="G23" i="6" s="1"/>
  <c r="J22" i="4"/>
  <c r="F23" i="6" s="1"/>
  <c r="I22" i="4"/>
  <c r="H22" i="4"/>
  <c r="G22" i="4"/>
  <c r="V22" i="4" s="1"/>
  <c r="H23" i="6" s="1"/>
  <c r="F22" i="4"/>
  <c r="E22" i="4"/>
  <c r="D23" i="6" s="1"/>
  <c r="V21" i="4"/>
  <c r="H22" i="6" s="1"/>
  <c r="T21" i="4"/>
  <c r="U21" i="4" s="1"/>
  <c r="S21" i="4"/>
  <c r="E22" i="6" s="1"/>
  <c r="Q21" i="4"/>
  <c r="P21" i="4"/>
  <c r="O21" i="4"/>
  <c r="N21" i="4"/>
  <c r="M21" i="4"/>
  <c r="L21" i="4"/>
  <c r="K21" i="4"/>
  <c r="G22" i="6" s="1"/>
  <c r="J21" i="4"/>
  <c r="I21" i="4"/>
  <c r="H21" i="4"/>
  <c r="G21" i="4"/>
  <c r="F21" i="4"/>
  <c r="E21" i="4"/>
  <c r="R21" i="4" s="1"/>
  <c r="T20" i="4"/>
  <c r="U20" i="4" s="1"/>
  <c r="S20" i="4"/>
  <c r="E21" i="6" s="1"/>
  <c r="Q20" i="4"/>
  <c r="P20" i="4"/>
  <c r="O20" i="4"/>
  <c r="N20" i="4"/>
  <c r="M20" i="4"/>
  <c r="L20" i="4"/>
  <c r="K20" i="4"/>
  <c r="J20" i="4"/>
  <c r="F21" i="6" s="1"/>
  <c r="I20" i="4"/>
  <c r="H20" i="4"/>
  <c r="G20" i="4"/>
  <c r="V20" i="4" s="1"/>
  <c r="H21" i="6" s="1"/>
  <c r="F20" i="4"/>
  <c r="E20" i="4"/>
  <c r="D21" i="6" s="1"/>
  <c r="V19" i="4"/>
  <c r="H20" i="6" s="1"/>
  <c r="T19" i="4"/>
  <c r="U19" i="4" s="1"/>
  <c r="S19" i="4"/>
  <c r="E20" i="6" s="1"/>
  <c r="Q19" i="4"/>
  <c r="P19" i="4"/>
  <c r="O19" i="4"/>
  <c r="N19" i="4"/>
  <c r="M19" i="4"/>
  <c r="L19" i="4"/>
  <c r="K19" i="4"/>
  <c r="G20" i="6" s="1"/>
  <c r="J19" i="4"/>
  <c r="F20" i="6" s="1"/>
  <c r="I19" i="4"/>
  <c r="H19" i="4"/>
  <c r="G19" i="4"/>
  <c r="F19" i="4"/>
  <c r="E19" i="4"/>
  <c r="R19" i="4" s="1"/>
  <c r="T18" i="4"/>
  <c r="U18" i="4" s="1"/>
  <c r="S18" i="4"/>
  <c r="E19" i="6" s="1"/>
  <c r="Q18" i="4"/>
  <c r="P18" i="4"/>
  <c r="O18" i="4"/>
  <c r="N18" i="4"/>
  <c r="M18" i="4"/>
  <c r="L18" i="4"/>
  <c r="K18" i="4"/>
  <c r="G19" i="6" s="1"/>
  <c r="J18" i="4"/>
  <c r="I18" i="4"/>
  <c r="H18" i="4"/>
  <c r="G18" i="4"/>
  <c r="V18" i="4" s="1"/>
  <c r="H19" i="6" s="1"/>
  <c r="F18" i="4"/>
  <c r="E18" i="4"/>
  <c r="R18" i="4" s="1"/>
  <c r="V17" i="4"/>
  <c r="H18" i="6" s="1"/>
  <c r="T17" i="4"/>
  <c r="U17" i="4" s="1"/>
  <c r="S17" i="4"/>
  <c r="E18" i="6" s="1"/>
  <c r="Q17" i="4"/>
  <c r="P17" i="4"/>
  <c r="O17" i="4"/>
  <c r="N17" i="4"/>
  <c r="M17" i="4"/>
  <c r="L17" i="4"/>
  <c r="K17" i="4"/>
  <c r="G18" i="6" s="1"/>
  <c r="J17" i="4"/>
  <c r="F18" i="6" s="1"/>
  <c r="I17" i="4"/>
  <c r="H17" i="4"/>
  <c r="G17" i="4"/>
  <c r="F17" i="4"/>
  <c r="E17" i="4"/>
  <c r="R17" i="4" s="1"/>
  <c r="T16" i="4"/>
  <c r="U16" i="4" s="1"/>
  <c r="S16" i="4"/>
  <c r="E17" i="6" s="1"/>
  <c r="Q16" i="4"/>
  <c r="P16" i="4"/>
  <c r="O16" i="4"/>
  <c r="N16" i="4"/>
  <c r="M16" i="4"/>
  <c r="L16" i="4"/>
  <c r="K16" i="4"/>
  <c r="J16" i="4"/>
  <c r="F17" i="6" s="1"/>
  <c r="I16" i="4"/>
  <c r="H16" i="4"/>
  <c r="G16" i="4"/>
  <c r="V16" i="4" s="1"/>
  <c r="H17" i="6" s="1"/>
  <c r="F16" i="4"/>
  <c r="E16" i="4"/>
  <c r="R16" i="4" s="1"/>
  <c r="V15" i="4"/>
  <c r="T15" i="4"/>
  <c r="U15" i="4" s="1"/>
  <c r="S15" i="4"/>
  <c r="E16" i="6" s="1"/>
  <c r="Q15" i="4"/>
  <c r="P15" i="4"/>
  <c r="O15" i="4"/>
  <c r="N15" i="4"/>
  <c r="M15" i="4"/>
  <c r="L15" i="4"/>
  <c r="K15" i="4"/>
  <c r="G16" i="6" s="1"/>
  <c r="J15" i="4"/>
  <c r="F16" i="6" s="1"/>
  <c r="I15" i="4"/>
  <c r="H15" i="4"/>
  <c r="G15" i="4"/>
  <c r="F15" i="4"/>
  <c r="E15" i="4"/>
  <c r="R15" i="4" s="1"/>
  <c r="T14" i="4"/>
  <c r="U14" i="4" s="1"/>
  <c r="S14" i="4"/>
  <c r="E15" i="6" s="1"/>
  <c r="Q14" i="4"/>
  <c r="P14" i="4"/>
  <c r="O14" i="4"/>
  <c r="N14" i="4"/>
  <c r="M14" i="4"/>
  <c r="L14" i="4"/>
  <c r="K14" i="4"/>
  <c r="G15" i="6" s="1"/>
  <c r="J14" i="4"/>
  <c r="F15" i="6" s="1"/>
  <c r="I14" i="4"/>
  <c r="H14" i="4"/>
  <c r="G14" i="4"/>
  <c r="V14" i="4" s="1"/>
  <c r="H15" i="6" s="1"/>
  <c r="F14" i="4"/>
  <c r="E14" i="4"/>
  <c r="D15" i="6" s="1"/>
  <c r="V13" i="4"/>
  <c r="H14" i="6" s="1"/>
  <c r="T13" i="4"/>
  <c r="U13" i="4" s="1"/>
  <c r="S13" i="4"/>
  <c r="E14" i="6" s="1"/>
  <c r="Q13" i="4"/>
  <c r="P13" i="4"/>
  <c r="O13" i="4"/>
  <c r="N13" i="4"/>
  <c r="M13" i="4"/>
  <c r="L13" i="4"/>
  <c r="K13" i="4"/>
  <c r="J13" i="4"/>
  <c r="I13" i="4"/>
  <c r="H13" i="4"/>
  <c r="G13" i="4"/>
  <c r="F13" i="4"/>
  <c r="E13" i="4"/>
  <c r="R13" i="4" s="1"/>
  <c r="T12" i="4"/>
  <c r="U12" i="4" s="1"/>
  <c r="S12" i="4"/>
  <c r="E13" i="6" s="1"/>
  <c r="Q12" i="4"/>
  <c r="P12" i="4"/>
  <c r="O12" i="4"/>
  <c r="N12" i="4"/>
  <c r="M12" i="4"/>
  <c r="L12" i="4"/>
  <c r="K12" i="4"/>
  <c r="G13" i="6" s="1"/>
  <c r="J12" i="4"/>
  <c r="F13" i="6" s="1"/>
  <c r="I12" i="4"/>
  <c r="H12" i="4"/>
  <c r="G12" i="4"/>
  <c r="V12" i="4" s="1"/>
  <c r="H13" i="6" s="1"/>
  <c r="F12" i="4"/>
  <c r="E12" i="4"/>
  <c r="D13" i="6" s="1"/>
  <c r="V11" i="4"/>
  <c r="T11" i="4"/>
  <c r="U11" i="4" s="1"/>
  <c r="S11" i="4"/>
  <c r="E12" i="6" s="1"/>
  <c r="Q11" i="4"/>
  <c r="P11" i="4"/>
  <c r="O11" i="4"/>
  <c r="N11" i="4"/>
  <c r="M11" i="4"/>
  <c r="L11" i="4"/>
  <c r="K11" i="4"/>
  <c r="G12" i="6" s="1"/>
  <c r="J11" i="4"/>
  <c r="F12" i="6" s="1"/>
  <c r="I11" i="4"/>
  <c r="H11" i="4"/>
  <c r="G11" i="4"/>
  <c r="F11" i="4"/>
  <c r="E11" i="4"/>
  <c r="R11" i="4" s="1"/>
  <c r="Q10" i="4"/>
  <c r="P10" i="4"/>
  <c r="O10" i="4"/>
  <c r="N10" i="4"/>
  <c r="M10" i="4"/>
  <c r="L10" i="4"/>
  <c r="K10" i="4"/>
  <c r="G11" i="6" s="1"/>
  <c r="J10" i="4"/>
  <c r="F11" i="6" s="1"/>
  <c r="I10" i="4"/>
  <c r="H10" i="4"/>
  <c r="G10" i="4"/>
  <c r="V10" i="4" s="1"/>
  <c r="H11" i="6" s="1"/>
  <c r="F10" i="4"/>
  <c r="E10" i="4"/>
  <c r="R45" i="4" s="1"/>
  <c r="D24" i="2"/>
  <c r="S27" i="4" l="1"/>
  <c r="E28" i="6" s="1"/>
  <c r="S29" i="4"/>
  <c r="E30" i="6" s="1"/>
  <c r="S31" i="4"/>
  <c r="E32" i="6" s="1"/>
  <c r="S33" i="4"/>
  <c r="E34" i="6" s="1"/>
  <c r="S35" i="4"/>
  <c r="E36" i="6" s="1"/>
  <c r="S37" i="4"/>
  <c r="E38" i="6" s="1"/>
  <c r="S39" i="4"/>
  <c r="E40" i="6" s="1"/>
  <c r="S41" i="4"/>
  <c r="E42" i="6" s="1"/>
  <c r="S43" i="4"/>
  <c r="E44" i="6" s="1"/>
  <c r="S45" i="4"/>
  <c r="E46" i="6" s="1"/>
  <c r="S47" i="4"/>
  <c r="E48" i="6" s="1"/>
  <c r="D14" i="6"/>
  <c r="D19" i="6"/>
  <c r="D22" i="6"/>
  <c r="R12" i="4"/>
  <c r="R14" i="4"/>
  <c r="R20" i="4"/>
  <c r="R22" i="4"/>
  <c r="R24" i="4"/>
  <c r="R26" i="4"/>
  <c r="R28" i="4"/>
  <c r="R30" i="4"/>
  <c r="R32" i="4"/>
  <c r="R34" i="4"/>
  <c r="R36" i="4"/>
  <c r="R38" i="4"/>
  <c r="R40" i="4"/>
  <c r="R42" i="4"/>
  <c r="R44" i="4"/>
  <c r="R46" i="4"/>
  <c r="R48" i="4"/>
  <c r="D18" i="6"/>
  <c r="D11" i="6"/>
  <c r="D16" i="6"/>
  <c r="R25" i="4"/>
  <c r="R27" i="4"/>
  <c r="R29" i="4"/>
  <c r="R31" i="4"/>
  <c r="R33" i="4"/>
  <c r="R35" i="4"/>
  <c r="R37" i="4"/>
  <c r="R39" i="4"/>
  <c r="R41" i="4"/>
  <c r="R43" i="4"/>
</calcChain>
</file>

<file path=xl/sharedStrings.xml><?xml version="1.0" encoding="utf-8"?>
<sst xmlns="http://schemas.openxmlformats.org/spreadsheetml/2006/main" count="1306" uniqueCount="523">
  <si>
    <t>1 · System Under Test (Hardware)</t>
  </si>
  <si>
    <t>HOW TO READ THIS WORKBOOK</t>
  </si>
  <si>
    <t>CPU</t>
  </si>
  <si>
    <t>Intel(R) Core(TM) i5-10400F CPU @ 2.90GHz  (6 cores / 12 threads)</t>
  </si>
  <si>
    <t>Sheet 2 - Glossary</t>
  </si>
  <si>
    <t>GPU</t>
  </si>
  <si>
    <t>AMD Radeon RX 5700 XT</t>
  </si>
  <si>
    <t>Plain-language explanation of every metric and statistical term used in this workbook. Start here if any column name is unclear.</t>
  </si>
  <si>
    <t>Display</t>
  </si>
  <si>
    <t>1920x1080 @ 144 Hz</t>
  </si>
  <si>
    <t>Machine name</t>
  </si>
  <si>
    <t>WORKSTATION</t>
  </si>
  <si>
    <t>Sheet 3 - Raw Data</t>
  </si>
  <si>
    <t>Every individual run (195 rows): measured Avg / 1% low / 0.1% low FPS, frame-time statistics, plus a per-second FPS time-series for each run.</t>
  </si>
  <si>
    <t>2 · Operating System &amp; Power Plans Tested</t>
  </si>
  <si>
    <t>Operating System</t>
  </si>
  <si>
    <t>Windows 11 Pro  (Build 26200)</t>
  </si>
  <si>
    <t>Sheet 4 - Statistical Analysis</t>
  </si>
  <si>
    <t>What was changed</t>
  </si>
  <si>
    <t>Windows Power Plan only — 39 different power plans tested back-to-back on the identical OS image and hardware. No other variable was altered between conditions.</t>
  </si>
  <si>
    <t>Per-plan aggregates computed with live Excel formulas from Sheet 3: mean +/- SD, CV%, 95% confidence interval, and a Welch t-test vs the top plan.</t>
  </si>
  <si>
    <t>Power plans tested</t>
  </si>
  <si>
    <t>39 plans, incl. 2 Microsoft stock references (MSFT High Performance, MSFT Ultimate Performance)</t>
  </si>
  <si>
    <t>Stock references</t>
  </si>
  <si>
    <t>'MSFT-High-Performance' and 'MSFT-UltimatePerformance' are Microsoft's built-in Windows power plans, kept as neutral reference points.</t>
  </si>
  <si>
    <t>Sheet 5 - Graphs</t>
  </si>
  <si>
    <t>All charts collected on one sheet, each with a short caption explaining what it shows and how to read it.</t>
  </si>
  <si>
    <t>3 · Workload / Scene</t>
  </si>
  <si>
    <t>Game</t>
  </si>
  <si>
    <t>FortniteClient-Win64-Shipping.exe  (Fortnite)</t>
  </si>
  <si>
    <t>Sheet 6 - Verdicts</t>
  </si>
  <si>
    <t>Test scenario</t>
  </si>
  <si>
    <t>Custom 1v1 map, fixed STATIC scene. The same static scene was captured repeatedly under each power plan so the only difference between captures is the power plan itself.</t>
  </si>
  <si>
    <t>One row per plan with a data-driven advisory note. The final VERDICT column is yours to fill (dropdown).</t>
  </si>
  <si>
    <t>Why static scene</t>
  </si>
  <si>
    <t>A static, reproducible scene removes gameplay randomness, isolating the power-plan effect and maximising measurement integrity.</t>
  </si>
  <si>
    <t>Statistical stance</t>
  </si>
  <si>
    <t>4 · Capture Tool &amp; Protocol</t>
  </si>
  <si>
    <t>Differences are only called 'real' when supported by the t-test (p&lt;0.05). Plans statistically tied with the leader are flagged so you don't over-read noise.</t>
  </si>
  <si>
    <t>Capture tool</t>
  </si>
  <si>
    <t>Custom in-house FPS capture tool (Capture-FPS.ps1 v2.0.0), built by the tester on top of Intel PresentMon.</t>
  </si>
  <si>
    <t>Measurement engine</t>
  </si>
  <si>
    <t>Intel PresentMon 2.4.1 (PresentMon v2 / v2 style) — industry-standard frame-time capture.</t>
  </si>
  <si>
    <t>Captures per plan</t>
  </si>
  <si>
    <t>5 repeated captures (runs) per power plan</t>
  </si>
  <si>
    <t>Capture length</t>
  </si>
  <si>
    <t>65s timed capture each</t>
  </si>
  <si>
    <t>Warm-up discarded</t>
  </si>
  <si>
    <t>First 5s of every capture discarded as warm-up → 60s analysed per run</t>
  </si>
  <si>
    <t>Inter-capture delay</t>
  </si>
  <si>
    <t>~5 s settle delay between captures for accuracy/consistency</t>
  </si>
  <si>
    <t>Primary signal</t>
  </si>
  <si>
    <t>MsBetweenPresents (present-to-present frame time); FPS = 1000 / frame time</t>
  </si>
  <si>
    <t>Present mode observed</t>
  </si>
  <si>
    <t>Hardware: Independent Flip on 100% of runs (clean flip path, no present-mode collapse)</t>
  </si>
  <si>
    <t>5 · Dataset Integrity Summary</t>
  </si>
  <si>
    <t>Total valid runs analysed</t>
  </si>
  <si>
    <t>195  (39 plans × 5 runs)</t>
  </si>
  <si>
    <t>Total frames analysed</t>
  </si>
  <si>
    <t>2,684,840</t>
  </si>
  <si>
    <t>Excluded captures</t>
  </si>
  <si>
    <t>1 failed PresentMon capture (Bitsum run @16:33:38, PresentMon error) — excluded; replaced by a valid re-run.</t>
  </si>
  <si>
    <t>Runs with dropped frames</t>
  </si>
  <si>
    <t>2 of 195 runs (negligible)</t>
  </si>
  <si>
    <t>Run-to-run repeatability</t>
  </si>
  <si>
    <t>Median per-plan CV = 0.41% · pooled within-run CV = 1.10%  → very stable</t>
  </si>
  <si>
    <t>Capture dates</t>
  </si>
  <si>
    <t>2026-06-24  (single session)</t>
  </si>
  <si>
    <t>Glossary - what each metric and term means, in plain language</t>
  </si>
  <si>
    <t>Read 'Better when' as the direction that is good. 'Found in' points to the sheet/column where the value lives.</t>
  </si>
  <si>
    <t>A.  Speed &amp; smoothness metrics  (per run on Raw Data; averaged on Statistical Analysis)</t>
  </si>
  <si>
    <t>Term</t>
  </si>
  <si>
    <t>Plain-language meaning</t>
  </si>
  <si>
    <t>Better when</t>
  </si>
  <si>
    <t>Found in</t>
  </si>
  <si>
    <t>Avg FPS</t>
  </si>
  <si>
    <t>Average frames per second across the whole 60-second test. The single most-quoted speed number.</t>
  </si>
  <si>
    <t>Higher</t>
  </si>
  <si>
    <t>Raw Data H / Stats E</t>
  </si>
  <si>
    <t>Median FPS</t>
  </si>
  <si>
    <t>The middle FPS value - half the frames are faster, half slower. Less swayed by rare spikes than the average.</t>
  </si>
  <si>
    <t>Raw Data I / Stats I</t>
  </si>
  <si>
    <t>1% Low FPS (P99)</t>
  </si>
  <si>
    <t>Your FPS during the worst moments: the value that 99% of frames beat. Captures dips and stutters.</t>
  </si>
  <si>
    <t>Raw Data J / Stats J</t>
  </si>
  <si>
    <t>0.1% Low FPS (P99.9)</t>
  </si>
  <si>
    <t>Even rarer worst moments - the deepest dips (slowest 0.1% of frames). Very sensitive to occasional hitches.</t>
  </si>
  <si>
    <t>Raw Data K / Stats K</t>
  </si>
  <si>
    <t>1% Low (worst-1% avg)</t>
  </si>
  <si>
    <t>Alternative method (NVIDIA FrameView style): the average FPS of the slowest 1% of frames, not a single percentile point.</t>
  </si>
  <si>
    <t>Raw Data L / Stats L</t>
  </si>
  <si>
    <t>0.1% Low (worst-0.1% avg)</t>
  </si>
  <si>
    <t>Same idea, for the slowest 0.1% of frames.</t>
  </si>
  <si>
    <t>Raw Data M / Stats M</t>
  </si>
  <si>
    <t>Min FPS / Max FPS</t>
  </si>
  <si>
    <t>The single slowest (Min) and fastest (Max) frame in the test, expressed as FPS. Min is a worst-case snapshot.</t>
  </si>
  <si>
    <t>Higher (Min)</t>
  </si>
  <si>
    <t>Raw Data N / O</t>
  </si>
  <si>
    <t>Frame time (ms)</t>
  </si>
  <si>
    <t>Time to make one frame, in milliseconds. FPS = 1000 / frame time. 8.33 ms = 120 FPS; 4.17 ms = 240 FPS.</t>
  </si>
  <si>
    <t>Lower</t>
  </si>
  <si>
    <t>underlying signal</t>
  </si>
  <si>
    <t>Frametime mean / SD (ms)</t>
  </si>
  <si>
    <t>Mean = average time per frame. SD = how much frame times vary. High SD means uneven pacing you feel as jitter.</t>
  </si>
  <si>
    <t>Raw Data P / Q</t>
  </si>
  <si>
    <t>Frametime CV %</t>
  </si>
  <si>
    <t>SD as a percentage of the mean - frame-pacing smoothness on a comparable scale across plans.</t>
  </si>
  <si>
    <t>Raw Data R / Stats P</t>
  </si>
  <si>
    <t>Stutter %</t>
  </si>
  <si>
    <t>Share of frames that took more than twice as long as the frame before - i.e. visible hitches.</t>
  </si>
  <si>
    <t>Raw Data S</t>
  </si>
  <si>
    <t>% frames &lt;120 FPS</t>
  </si>
  <si>
    <t>Share of frames that dropped below 120 FPS. On a 144 Hz screen, fewer is better.</t>
  </si>
  <si>
    <t>Raw Data T</t>
  </si>
  <si>
    <t>B.  Capture &amp; data-integrity terms</t>
  </si>
  <si>
    <t>Run</t>
  </si>
  <si>
    <t>One single 60-second capture. Each plan was tested 5 times (Run 1-5) to average out luck.</t>
  </si>
  <si>
    <t>Neutral</t>
  </si>
  <si>
    <t>Raw Data B</t>
  </si>
  <si>
    <t>Frames (analysed)</t>
  </si>
  <si>
    <t>How many frames were measured in the 60-second window (after warm-up was removed). More frames = more data.</t>
  </si>
  <si>
    <t>Raw Data D</t>
  </si>
  <si>
    <t>Window (s)</t>
  </si>
  <si>
    <t>Length of the analysed slice - about 60 s for every run by design, so all plans are compared over equal time.</t>
  </si>
  <si>
    <t>Raw Data E</t>
  </si>
  <si>
    <t>Warm-up</t>
  </si>
  <si>
    <t>First 5 s of each capture, thrown away so loading/settling does not pollute the result.</t>
  </si>
  <si>
    <t>method</t>
  </si>
  <si>
    <t>Dropped</t>
  </si>
  <si>
    <t>Frames the system discarded (never shown on screen). Near zero means a clean capture.</t>
  </si>
  <si>
    <t>Lower (0 ideal)</t>
  </si>
  <si>
    <t>Raw Data F</t>
  </si>
  <si>
    <t>Present Mode</t>
  </si>
  <si>
    <t>How finished frames reach the screen. 'Hardware: Independent Flip' is the fast, clean path - it was used on 100% of runs here.</t>
  </si>
  <si>
    <t>Raw Data G</t>
  </si>
  <si>
    <t>Per-second FPS (s01..s60)</t>
  </si>
  <si>
    <t>FPS measured in each 1-second slice of a run. Lets you see stability over time inside one capture (see Graph 4).</t>
  </si>
  <si>
    <t>Flatter=steadier</t>
  </si>
  <si>
    <t>Raw Data s01-s60</t>
  </si>
  <si>
    <t>C.  Statistical terms  (Statistical Analysis sheet)</t>
  </si>
  <si>
    <t>Mean</t>
  </si>
  <si>
    <t>The plain average of the 5 runs for a given metric.</t>
  </si>
  <si>
    <t>Stats E, I-Q</t>
  </si>
  <si>
    <t>+/- SD (Standard Deviation)</t>
  </si>
  <si>
    <t>Typical spread of the 5 runs around their mean. Small SD = the runs agreed closely.</t>
  </si>
  <si>
    <t>Stats F</t>
  </si>
  <si>
    <t>CV % (Coeff. of Variation)</t>
  </si>
  <si>
    <t>SD divided by mean, as a %. Fair way to compare consistency between fast and slow plans.</t>
  </si>
  <si>
    <t>Stats G</t>
  </si>
  <si>
    <t>95% CI +/- (Confidence Interval)</t>
  </si>
  <si>
    <t>The mean is reliable to about plus/minus this much. If two plans' (mean +/- CI) overlap, they may not truly differ.</t>
  </si>
  <si>
    <t>Smaller</t>
  </si>
  <si>
    <t>Stats H</t>
  </si>
  <si>
    <t>Delta vs top (FPS / %)</t>
  </si>
  <si>
    <t>How far this plan sits below the #1 plan, in FPS and in percent.</t>
  </si>
  <si>
    <t>Closer to 0</t>
  </si>
  <si>
    <t>Stats R / S</t>
  </si>
  <si>
    <t>Welch p vs top</t>
  </si>
  <si>
    <t>Probability the gap to the #1 plan is just random luck. p &lt; 0.05 = the gap is real; higher = could be noise.</t>
  </si>
  <si>
    <t>Stats T</t>
  </si>
  <si>
    <t>Sig? (Significance)</t>
  </si>
  <si>
    <t>'yes' = statistically slower than #1 (p&lt;0.05). 'tie' = not separable from #1, i.e. effectively as good.</t>
  </si>
  <si>
    <t>'tie' near top</t>
  </si>
  <si>
    <t>Stats U</t>
  </si>
  <si>
    <t>Repeatability</t>
  </si>
  <si>
    <t>Word rating from CV%: Excellent &lt;1%, Good &lt;2%, Fair &lt;4%, Poor &gt;=4%. How trustworthy the plan's result is.</t>
  </si>
  <si>
    <t>Excellent</t>
  </si>
  <si>
    <t>Stats V</t>
  </si>
  <si>
    <t>ANOVA (F, p)</t>
  </si>
  <si>
    <t>One overall test: 'do the plans really differ at all, beyond run-to-run noise?' A tiny p (here ~3e-70) means yes, clearly.</t>
  </si>
  <si>
    <t>Stats summary</t>
  </si>
  <si>
    <t>MSFT stock</t>
  </si>
  <si>
    <t>Microsoft's built-in Windows plans (High Performance, Ultimate Performance), kept as neutral reference points.</t>
  </si>
  <si>
    <t>highlighted rows</t>
  </si>
  <si>
    <t>Plan</t>
  </si>
  <si>
    <t>Windows Power Scheme</t>
  </si>
  <si>
    <t>Frames
(analysed)</t>
  </si>
  <si>
    <t>Window
(s)</t>
  </si>
  <si>
    <t>1% Low FPS
(P99)</t>
  </si>
  <si>
    <t>0.1% Low FPS
(P99.9)</t>
  </si>
  <si>
    <t>1% Low FPS
(worst-1% avg)</t>
  </si>
  <si>
    <t>0.1% Low FPS
(worst-0.1% avg)</t>
  </si>
  <si>
    <t>Min FPS</t>
  </si>
  <si>
    <t>Max FPS</t>
  </si>
  <si>
    <t>Frametime
mean (ms)</t>
  </si>
  <si>
    <t>Frametime
SD (ms)</t>
  </si>
  <si>
    <t>Frametime
CV (%)</t>
  </si>
  <si>
    <t>Stutter
(%)</t>
  </si>
  <si>
    <t>% frames
&lt;120 FPS</t>
  </si>
  <si>
    <t>Per-second FPS series →</t>
  </si>
  <si>
    <t>s01</t>
  </si>
  <si>
    <t>s02</t>
  </si>
  <si>
    <t>s03</t>
  </si>
  <si>
    <t>s04</t>
  </si>
  <si>
    <t>s05</t>
  </si>
  <si>
    <t>s06</t>
  </si>
  <si>
    <t>s07</t>
  </si>
  <si>
    <t>s08</t>
  </si>
  <si>
    <t>s09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</si>
  <si>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</si>
  <si>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</si>
  <si>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</si>
  <si>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</si>
  <si>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</si>
  <si>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</si>
  <si>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</si>
  <si>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</si>
  <si>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</si>
  <si>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</si>
  <si>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</si>
  <si>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</si>
  <si>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</si>
  <si>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</si>
  <si>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</si>
  <si>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</si>
  <si>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</si>
  <si>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</si>
  <si>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</si>
  <si>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</si>
  <si>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</si>
  <si>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</si>
  <si>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</si>
  <si>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</si>
  <si>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</si>
  <si>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</si>
  <si>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</si>
  <si>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</si>
  <si>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</si>
  <si>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</si>
  <si>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</si>
  <si>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</si>
  <si>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</si>
  <si>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</si>
  <si>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</si>
  <si>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</si>
  <si>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</si>
  <si>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</si>
  <si>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</si>
  <si>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</si>
  <si>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</si>
  <si>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</si>
  <si>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</si>
  <si>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</si>
  <si>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</si>
  <si>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</si>
  <si>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</si>
  <si>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</si>
  <si>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</si>
  <si>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</si>
  <si>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</si>
  <si>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Arsenza-PowerPlan-INTEL</t>
  </si>
  <si>
    <t>ARSENZA LOW LATENCY (INTEL THREAD DIRECTOR FIX</t>
  </si>
  <si>
    <t>Hardware: Independent Flip</t>
  </si>
  <si>
    <t>EndGame-PowerPlan</t>
  </si>
  <si>
    <t>Endgame Performance</t>
  </si>
  <si>
    <t>Prodazin-PowerPlan</t>
  </si>
  <si>
    <t>Prodazin Power Plan</t>
  </si>
  <si>
    <t>AMIT-PowerPlan</t>
  </si>
  <si>
    <t>amit's low latency powerplan</t>
  </si>
  <si>
    <t>LLG-CERTIFIED-FOR-PARKING+E-CORES-FIX-PowerPlan</t>
  </si>
  <si>
    <t>LLG-C?RT1F1?D-FOR-PARKING+E-CORES-FIX</t>
  </si>
  <si>
    <t>Synez-PowerPlan</t>
  </si>
  <si>
    <t>Synez Power Plan</t>
  </si>
  <si>
    <t>Revision-PowerPlan</t>
  </si>
  <si>
    <t>RevisionT Extreme Performance</t>
  </si>
  <si>
    <t>Reticle-PowerPlan</t>
  </si>
  <si>
    <t>&lt;Reticle&gt;</t>
  </si>
  <si>
    <t>LLG-CERTIFIED-FOR-NON-K-CPUs-PowerPlan</t>
  </si>
  <si>
    <t>LLG-C?RT1F1?D-FOR-NON-K-CPUs</t>
  </si>
  <si>
    <t>CactusOS-PowerPlan</t>
  </si>
  <si>
    <t>CactusOS Absolute Performance</t>
  </si>
  <si>
    <t>Imribiy-2026-PowerPlan</t>
  </si>
  <si>
    <t>imribiy 2026 Power Plan</t>
  </si>
  <si>
    <t>FPSHEAVEN2026-PowerPlan</t>
  </si>
  <si>
    <t>FPSHEAVEN2026</t>
  </si>
  <si>
    <t>Mitstas-PowerPlan</t>
  </si>
  <si>
    <t>Mitstas IDLE ENABLED</t>
  </si>
  <si>
    <t>Bitsum-Highest-Performance-PowerPlan</t>
  </si>
  <si>
    <t>Bitsum Highest Performance</t>
  </si>
  <si>
    <t>AutoOS-PowerPlan</t>
  </si>
  <si>
    <t>AutoOS</t>
  </si>
  <si>
    <t>RIP-PowerPlan</t>
  </si>
  <si>
    <t>RIP Tweaks Power Plan</t>
  </si>
  <si>
    <t>Slower-PowerPlan</t>
  </si>
  <si>
    <t>Slower</t>
  </si>
  <si>
    <t>BEYOND-PERFORMANCE-AMD-INTEL-V1-PowerPlan</t>
  </si>
  <si>
    <t>BEYOND PERFORMANCE AMD/INTEL V1</t>
  </si>
  <si>
    <t>Iris-PowerPlan</t>
  </si>
  <si>
    <t>Iris</t>
  </si>
  <si>
    <t>Sapphire-PowerPlan</t>
  </si>
  <si>
    <t>Sapphire</t>
  </si>
  <si>
    <t>Sazinho-PowerPlan</t>
  </si>
  <si>
    <t>Sazinho Tweaks Latency Plan</t>
  </si>
  <si>
    <t>JokrOS-PowerPlan</t>
  </si>
  <si>
    <t>J o k r O S   P o w e r   P l a n</t>
  </si>
  <si>
    <t>Khorvie-PowerPlan</t>
  </si>
  <si>
    <t>Khorvie's PowerPlan</t>
  </si>
  <si>
    <t>GALA'S-Ultimate-Performance-AMD-PowerPlan</t>
  </si>
  <si>
    <t>GALA's ultimate performance(AMD</t>
  </si>
  <si>
    <t>Jackpot2026-PowerPlan</t>
  </si>
  <si>
    <t>Jackpot2026</t>
  </si>
  <si>
    <t>Arsezna-PowerPlan-ALL-CPU</t>
  </si>
  <si>
    <t>ARSENZA LOW LATENCY [ALL CPU]</t>
  </si>
  <si>
    <t>RoscaV2-PowerPlan</t>
  </si>
  <si>
    <t>Rosca Tweaks v2</t>
  </si>
  <si>
    <t>GPU-BOOSTER-PowerPlan</t>
  </si>
  <si>
    <t>GPU Booster Power Plan</t>
  </si>
  <si>
    <t>IIIEXOIII-PowerPlan</t>
  </si>
  <si>
    <t>IIIEXOIII LOW LATENCY</t>
  </si>
  <si>
    <t>Hybred-Low-Latency-PowerPlan</t>
  </si>
  <si>
    <t>Hybred Low Latency (HP</t>
  </si>
  <si>
    <t>MSFT-High-Performance-PowerPlan</t>
  </si>
  <si>
    <t>High performance</t>
  </si>
  <si>
    <t>GTweaks-PowerPlan</t>
  </si>
  <si>
    <t>GTweaks Power Plan V3</t>
  </si>
  <si>
    <t>Kizzimo-PowerPlan</t>
  </si>
  <si>
    <t>Kizzimo's Extreme Low Latency</t>
  </si>
  <si>
    <t>XNRL-PowerPlan</t>
  </si>
  <si>
    <t>XNRL Pro Plan</t>
  </si>
  <si>
    <t>MSFT-UltimatePerformance-PowerPlan</t>
  </si>
  <si>
    <t>Ultimate Performance</t>
  </si>
  <si>
    <t>XILLY'S-PowerPlan</t>
  </si>
  <si>
    <t>Xilly's Public PowerPlan</t>
  </si>
  <si>
    <t>LowLatency-PowerPlan</t>
  </si>
  <si>
    <t>Lowest Latency</t>
  </si>
  <si>
    <t>VTRL-PowerPlan</t>
  </si>
  <si>
    <t>VTRL Optimized</t>
  </si>
  <si>
    <t>Velo's-PowerPlan</t>
  </si>
  <si>
    <t>Velo's Power Plan</t>
  </si>
  <si>
    <t>Statistical Analysis — Per Power Plan (n = 5 repeated captures each)</t>
  </si>
  <si>
    <t>All statistics below are computed live from Sheet 2 (Raw Data). Delta % and Welch t-test are vs the top-ranked plan.</t>
  </si>
  <si>
    <t>Best plan (mean Avg FPS)</t>
  </si>
  <si>
    <t>Worst plan</t>
  </si>
  <si>
    <t>Best→Worst spread</t>
  </si>
  <si>
    <t>ANOVA across 39 plans</t>
  </si>
  <si>
    <t>Arsenza-PowerPlan-INTEL — 242.0 FPS</t>
  </si>
  <si>
    <t>Velo's-PowerPlan — 207.3 FPS</t>
  </si>
  <si>
    <t>34.7 FPS  (15.1%)</t>
  </si>
  <si>
    <t>median CV 0.41% · pooled 1.10%</t>
  </si>
  <si>
    <t>F=51.1, p=3.0e-70 → differences are real</t>
  </si>
  <si>
    <t>Rank</t>
  </si>
  <si>
    <t>Power Plan</t>
  </si>
  <si>
    <t>Type</t>
  </si>
  <si>
    <t>n</t>
  </si>
  <si>
    <t>Avg FPS
mean</t>
  </si>
  <si>
    <t>±SD</t>
  </si>
  <si>
    <t>CV %</t>
  </si>
  <si>
    <t>95% CI ±</t>
  </si>
  <si>
    <t>Median
FPS</t>
  </si>
  <si>
    <t>1% Low
(P99)</t>
  </si>
  <si>
    <t>0.1% Low
(P99.9)</t>
  </si>
  <si>
    <t>1% Low
(worst1%)</t>
  </si>
  <si>
    <t>0.1% Low
(worst.1%)</t>
  </si>
  <si>
    <t>Min
FPS</t>
  </si>
  <si>
    <t>Max
FPS</t>
  </si>
  <si>
    <t>Frametime
CV %</t>
  </si>
  <si>
    <t>Stutter
%</t>
  </si>
  <si>
    <t>Delta  vs top
(FPS)</t>
  </si>
  <si>
    <t>Delta  vs top
%</t>
  </si>
  <si>
    <t>Welch p
vs top</t>
  </si>
  <si>
    <t>Sig?
(p&lt;.05)</t>
  </si>
  <si>
    <t>Repeat-
ability</t>
  </si>
  <si>
    <t>community</t>
  </si>
  <si>
    <t>ref</t>
  </si>
  <si>
    <t>top</t>
  </si>
  <si>
    <t>• Avg FPS mean = 1000 / mean frame-time over the 60 s analysed window, averaged across the 5 runs.</t>
  </si>
  <si>
    <t>• 1% / 0.1% Low (P99/P99.9) = percentile-of-frametime method (CapFrameX/PresentMon convention).</t>
  </si>
  <si>
    <t>• 1% / 0.1% Low (worst-N%) = FrameView method: mean FPS of the slowest frames making up that share of render time.</t>
  </si>
  <si>
    <t>• 95% CI ± = t-based confidence interval on the mean (n=5, df=4, t=2.776). Smaller = more certain estimate.</t>
  </si>
  <si>
    <t>• Welch p vs top = two-sample unequal-variance t-test of this plan's 5 runs vs the top plan's 5 runs. 'tie' = not statistically separable from the leader (p≥0.05).</t>
  </si>
  <si>
    <t>• Repeatability from run-to-run CV%: Excellent &lt;1%, Good &lt;2%, Fair &lt;4%, Poor ≥4%.</t>
  </si>
  <si>
    <t>• MSFT High Performance &amp; Ultimate Performance are Microsoft's stock Windows plans (highlighted), shown as neutral references.</t>
  </si>
  <si>
    <t>Graphs</t>
  </si>
  <si>
    <t>All charts are built live from Sheet 4 (Statistical Analysis). Plans are ranked best-to-worst by mean Avg FPS. The plan NAME is printed on the axis next to each bar; the number is shown at the end of each bar.</t>
  </si>
  <si>
    <t>Chart 1  -  Mean Avg FPS by power plan (ranked)</t>
  </si>
  <si>
    <t>Average frames per second per plan (mean of 5 runs). Longer bar = faster - this is the headline ranking. Each bar is labelled with its plan name on the left and its exact FPS at the bar end. Microsoft stock plans are included as neutral references.</t>
  </si>
  <si>
    <t>(chart category labels)</t>
  </si>
  <si>
    <t>Per-second FPS (Run 1) - chart data</t>
  </si>
  <si>
    <t>Arsenza-INTEL</t>
  </si>
  <si>
    <t>Sec</t>
  </si>
  <si>
    <t>EndGame</t>
  </si>
  <si>
    <t>Prodazin</t>
  </si>
  <si>
    <t>MSFT-High-Performance</t>
  </si>
  <si>
    <t>AMIT</t>
  </si>
  <si>
    <t>LLG-CERTIFIED-FOR-PARKING+E-CORES-FIX</t>
  </si>
  <si>
    <t>Synez</t>
  </si>
  <si>
    <t>Revision</t>
  </si>
  <si>
    <t>Reticle</t>
  </si>
  <si>
    <t>LLG-CERTIFIED-FOR-NON-K-CPUs</t>
  </si>
  <si>
    <t>CactusOS</t>
  </si>
  <si>
    <t>Imribiy-2026</t>
  </si>
  <si>
    <t>Mitstas</t>
  </si>
  <si>
    <t>Bitsum-Highest-Performance</t>
  </si>
  <si>
    <t>RIP</t>
  </si>
  <si>
    <t>BEYOND-PERFORMANCE-AMD-INTEL-V1</t>
  </si>
  <si>
    <t>Sazinho</t>
  </si>
  <si>
    <t>JokrOS</t>
  </si>
  <si>
    <t>Khorvie</t>
  </si>
  <si>
    <t>GALA'S-Ultimate-Performance-AMD</t>
  </si>
  <si>
    <t>Arsezna-ALL-CPU</t>
  </si>
  <si>
    <t>RoscaV2</t>
  </si>
  <si>
    <t>GPU-BOOSTER</t>
  </si>
  <si>
    <t>IIIEXOIII</t>
  </si>
  <si>
    <t>Hybred-Low-Latency</t>
  </si>
  <si>
    <t>GTweaks</t>
  </si>
  <si>
    <t>Kizzimo</t>
  </si>
  <si>
    <t>XNRL</t>
  </si>
  <si>
    <t>MSFT-UltimatePerformance</t>
  </si>
  <si>
    <t>XILLY'S</t>
  </si>
  <si>
    <t>LowLatency</t>
  </si>
  <si>
    <t>VTRL</t>
  </si>
  <si>
    <t>Velo's</t>
  </si>
  <si>
    <t>Chart 2  -  1% Low and 0.1% Low FPS by plan</t>
  </si>
  <si>
    <t>Worst-case smoothness. 1% Low = your slowest 1% of frames; 0.1% Low = the deepest dips. Higher = fewer stutters. Two bars per plan (see legend). A plan with high Avg but low 1% Low can still FEEL stuttery.</t>
  </si>
  <si>
    <t>Chart 3  -  Run-to-run variability (CV %, lower = better)</t>
  </si>
  <si>
    <t>How much each plan's Avg FPS bounced across the 5 repeats. Lower bar = more repeatable and trustworthy. Bars under ~1% are rock-solid; tall bars mean the result needs re-testing before you trust it.</t>
  </si>
  <si>
    <t>Chart 4  -  Within-run stability over time (per-second FPS, Run 1)</t>
  </si>
  <si>
    <t>FPS sampled every second during one capture, for the top 3 plans plus Microsoft High Performance (see legend). Flatter line = steadier feel; sharp dips = momentary stutters. Shows stability WITHIN a single run.</t>
  </si>
  <si>
    <t>Verdicts - Analyst's Final Recommendation</t>
  </si>
  <si>
    <t>BEST OVERALL  -  Arsenza-PowerPlan-INTEL</t>
  </si>
  <si>
    <t>It is the only plan that leads the field on BOTH fronts at once: highest mean Avg FPS (242.0, about +6.8% over Windows High Performance) AND the best 1% low (192.6) - the fewest stutters in the worst moments - all with excellent run-to-run stability (CV 0.35%, 95% CI +/-1.0). This is the recommended daily driver.</t>
  </si>
  <si>
    <t>INTERCHANGEABLE  -  EndGame-PowerPlan</t>
  </si>
  <si>
    <t>Statistically tied with the winner (Welch p=0.09), equally consistent (CV 0.47%), with a marginally better 0.1% low. Use either with no measurable penalty.</t>
  </si>
  <si>
    <t>SPECIALIST PICKS</t>
  </si>
  <si>
    <t>For the steadiest deep-dip smoothness: LLG-CERTIFIED-PARKING+E-CORES-FIX (best 0.1% low in the set, 170.4). For maximum repeatability: Prodazin (CV 0.18%, only -1.1% behind #1).</t>
  </si>
  <si>
    <t>RE-TEST BEFORE TRUSTING</t>
  </si>
  <si>
    <t>Synez, LLG-CERTIFIED-NON-K, RIP and Arsezna-ALL-CPU look competitive but are too noisy (run-to-run CV &gt;= 2%) to judge. Repeat 5x cleanly before any conclusion.</t>
  </si>
  <si>
    <t>NOT WORTH IT</t>
  </si>
  <si>
    <t>The remaining plans are reliably slower with no smoothness benefit. Both Microsoft stock plans sit mid/low (High Performance #31, Ultimate #35), so the better community plans deliver a real ~6-7% average gain. The bottom three (LowLatency, VTRL, Velo's) are 13-14% slower - avoid.</t>
  </si>
  <si>
    <t>RECOMMENDATION</t>
  </si>
  <si>
    <t>Run Arsenza-INTEL (or EndGame) as your power plan. Optionally do one more 5x A/B between those two to pick a personal favourite; the rest can be retired. Differences are real (ANOVA p~3e-70) and the measurement is trustworthy (pooled within-run CV 1.1%).</t>
  </si>
  <si>
    <t>Delta % vs top</t>
  </si>
  <si>
    <t>Stat. tie
w/ top?</t>
  </si>
  <si>
    <t>Data summary</t>
  </si>
  <si>
    <t>VERDICT
(analyst)</t>
  </si>
  <si>
    <t>Analyst justification</t>
  </si>
  <si>
    <t>-</t>
  </si>
  <si>
    <t>Top plan by mean Avg FPS. Very stable (CV 0.4%).</t>
  </si>
  <si>
    <t>Keep</t>
  </si>
  <si>
    <t>WINNER. Leads on BOTH raw speed (242.0 FPS) and worst-case smoothness (best 1% low, 192.6), with excellent repeatability (CV 0.35%, CI +/-1.0). No other plan leads both. Daily-driver recommendation.</t>
  </si>
  <si>
    <t>YES</t>
  </si>
  <si>
    <t>Tied with top (p=0.09); gap -0.5% within noise. Very stable (CV 0.5%).</t>
  </si>
  <si>
    <t>Co-leader. Statistically inseparable from the winner (Welch p=0.09), marginally better 0.1% low (169.8), excellent consistency (CV 0.47%). A fully valid substitute for #1.</t>
  </si>
  <si>
    <t>no</t>
  </si>
  <si>
    <t>Marginally below top (-1.1%, real). Very stable (CV 0.2%).</t>
  </si>
  <si>
    <t>Only -1.1% behind #1 (small but statistically real) with the BEST consistency in the whole test (CV 0.18%, CI +/-0.55). Safest pick if repeatability matters most.</t>
  </si>
  <si>
    <t>Tied with top (p=0.10); gap -1.2% within noise.</t>
  </si>
  <si>
    <t>Tied with the winner on average (p=0.10) but wider spread (CV 1.33%) and a weak 0.1% low (150.3 = occasional deeper dips). Fast, slightly less smooth than the top two.</t>
  </si>
  <si>
    <t>Marginally below top (-1.4%, real). Very stable (CV 0.3%).</t>
  </si>
  <si>
    <t>Smoothness champion: best 0.1% low in the dataset (170.4) plus a top-tier 1% low (191.2), excellent consistency; avg only -1.4%. Pick for steadiest frame delivery.</t>
  </si>
  <si>
    <t>Tied with top (p=0.15); gap -1.7% within noise. Noisy (CV 2.2%).</t>
  </si>
  <si>
    <t>Test again</t>
  </si>
  <si>
    <t>Average looks tied with #1 (p=0.15) BUT variability is high (CV 2.15%, CI +/-6.4); not trustworthy as-is. Re-run before any verdict.</t>
  </si>
  <si>
    <t>Marginally below top (-2.0%, real). Very stable (CV 0.4%).</t>
  </si>
  <si>
    <t>Reject</t>
  </si>
  <si>
    <t>Reliably below the top (-2.0%, p&lt;0.05) with no smoothness edge (1% low 187 vs 192.6). Dominated by the leading plans - not worth using over them.</t>
  </si>
  <si>
    <t>Measurably slower (-2.2%).</t>
  </si>
  <si>
    <t>Reliably below the top (-2.2%, p&lt;0.05) with no smoothness edge (1% low 180 vs 192.6). Dominated by the leading plans - not worth using over them.</t>
  </si>
  <si>
    <t>Tied with top (p=0.07); gap -2.2% within noise. Noisy (CV 2.1%).</t>
  </si>
  <si>
    <t>Within noise of the top on average (p=0.07) but noisy (CV 2.07%). Promising; needs a clean 5x repeat to confirm.</t>
  </si>
  <si>
    <t>Measurably slower (-2.3%).</t>
  </si>
  <si>
    <t>Reliably below the top (-2.3%, p&lt;0.05) with no smoothness edge (1% low 185 vs 192.6). Dominated by the leading plans - not worth using over them.</t>
  </si>
  <si>
    <t>Measurably slower (-2.8%).</t>
  </si>
  <si>
    <t>Reliably below the top (-2.8%, p&lt;0.05) with no smoothness edge (1% low 188 vs 192.6). Dominated by the leading plans - not worth using over them.</t>
  </si>
  <si>
    <t>Measurably slower (-2.9%).</t>
  </si>
  <si>
    <t>Reliably below the top (-2.9%, p&lt;0.05) with no smoothness edge (1% low 183 vs 192.6). Dominated by the leading plans - not worth using over them.</t>
  </si>
  <si>
    <t>Measurably slower (-3.7%).</t>
  </si>
  <si>
    <t>Reliably below the top (-3.7%, p&lt;0.05) with no smoothness edge (1% low 178 vs 192.6). Dominated by the leading plans - not worth using over them.</t>
  </si>
  <si>
    <t>Measurably slower (-3.8%).</t>
  </si>
  <si>
    <t>Reliably below the top (-3.8%, p&lt;0.05) with no smoothness edge (1% low 177 vs 192.6). Dominated by the leading plans - not worth using over them.</t>
  </si>
  <si>
    <t>Measurably slower (-4.4%). Very stable (CV 0.3%).</t>
  </si>
  <si>
    <t>Reliably below the top (-4.4%, p&lt;0.05) with no smoothness edge (1% low 179 vs 192.6). Dominated by the leading plans - not worth using over them.</t>
  </si>
  <si>
    <t>Measurably slower (-4.6%). Noisy (CV 2.0%).</t>
  </si>
  <si>
    <t>About -4.6% behind and noisy (CV 2.01%). Re-test to separate a real deficit from scatter before judging.</t>
  </si>
  <si>
    <t>Measurably slower (-4.8%). Very stable (CV 0.4%).</t>
  </si>
  <si>
    <t>Reliably below the top (-4.8%, p&lt;0.05) with no smoothness edge (1% low 177 vs 192.6). Dominated by the leading plans - not worth using over them.</t>
  </si>
  <si>
    <t>Measurably slower (-4.8%). Very stable (CV 0.2%).</t>
  </si>
  <si>
    <t>Reliably below the top (-4.8%, p&lt;0.05) with no smoothness edge (1% low 179 vs 192.6). Dominated by the leading plans - not worth using over them.</t>
  </si>
  <si>
    <t>Clearly below field (-5.0%).</t>
  </si>
  <si>
    <t>Reliably below the top (-5.0%, p&lt;0.05) with no smoothness edge (1% low 181 vs 192.6). Dominated by the leading plans - not worth using over them.</t>
  </si>
  <si>
    <t>Clearly below field (-5.1%). Very stable (CV 0.4%).</t>
  </si>
  <si>
    <t>Reliably below the top (-5.1%, p&lt;0.05) with no smoothness edge (1% low 176 vs 192.6). Dominated by the leading plans - not worth using over them.</t>
  </si>
  <si>
    <t>Clearly below field (-5.3%). Very stable (CV 0.4%).</t>
  </si>
  <si>
    <t>Reliably below the top (-5.3%, p&lt;0.05) with no smoothness edge (1% low 174 vs 192.6). Dominated by the leading plans - not worth using over them.</t>
  </si>
  <si>
    <t>Clearly below field (-5.6%). Very stable (CV 0.3%).</t>
  </si>
  <si>
    <t>Reliably below the top (-5.6%, p&lt;0.05) with no smoothness edge (1% low 178 vs 192.6). Dominated by the leading plans - not worth using over them.</t>
  </si>
  <si>
    <t>Clearly below field (-5.6%). Very stable (CV 0.1%).</t>
  </si>
  <si>
    <t>Reliably below the top (-5.6%, p&lt;0.05) with no smoothness edge (1% low 179 vs 192.6). Dominated by the leading plans - not worth using over them.</t>
  </si>
  <si>
    <t>Clearly below field (-5.8%). Very stable (CV 0.1%).</t>
  </si>
  <si>
    <t>Reliably below the top (-5.8%, p&lt;0.05) with no smoothness edge (1% low 178 vs 192.6). Dominated by the leading plans - not worth using over them.</t>
  </si>
  <si>
    <t>Clearly below field (-5.8%). Very stable (CV 0.2%).</t>
  </si>
  <si>
    <t>Clearly below field (-6.0%). Noisy (CV 2.5%).</t>
  </si>
  <si>
    <t>Highest variability in the whole set (CV 2.47%) at ~-6%. Unreliable as measured - repeat before any conclusion.</t>
  </si>
  <si>
    <t>Clearly below field (-6.0%). Very stable (CV 0.5%).</t>
  </si>
  <si>
    <t>Reliably below the top (-6.0%, p&lt;0.05) with no smoothness edge (1% low 174 vs 192.6). Dominated by the leading plans - not worth using over them.</t>
  </si>
  <si>
    <t>Clearly below field (-6.1%). Very stable (CV 0.2%).</t>
  </si>
  <si>
    <t>Reliably below the top (-6.1%, p&lt;0.05) with no smoothness edge (1% low 177 vs 192.6). Dominated by the leading plans - not worth using over them.</t>
  </si>
  <si>
    <t>Clearly below field (-6.2%). Very stable (CV 0.3%).</t>
  </si>
  <si>
    <t>Reliably below the top (-6.2%, p&lt;0.05) with no smoothness edge (1% low 178 vs 192.6). Dominated by the leading plans - not worth using over them.</t>
  </si>
  <si>
    <t>Clearly below field (-6.4%). Very stable (CV 0.5%).</t>
  </si>
  <si>
    <t>Reliably below the top (-6.4%, p&lt;0.05) with no smoothness edge (1% low 177 vs 192.6). Dominated by the leading plans - not worth using over them.</t>
  </si>
  <si>
    <t>Clearly below field (-6.4%). Microsoft stock plan. Very stable (CV 0.1%).</t>
  </si>
  <si>
    <t>Microsoft stock plan. Reliably -6.4% under the best community plans (p&lt;0.05) - confirms the tuned plans give a genuine uplift. Baseline reference, not a performance pick.</t>
  </si>
  <si>
    <t>Clearly below field (-6.5%). Very stable (CV 0.3%).</t>
  </si>
  <si>
    <t>Reliably below the top (-6.5%, p&lt;0.05) with no smoothness edge (1% low 177 vs 192.6). Dominated by the leading plans - not worth using over them.</t>
  </si>
  <si>
    <t>Clearly below field (-7.6%). Very stable (CV 0.2%).</t>
  </si>
  <si>
    <t>Reliably below the top (-7.6%, p&lt;0.05) with no smoothness edge (1% low 174 vs 192.6). Dominated by the leading plans - not worth using over them.</t>
  </si>
  <si>
    <t>Clearly below field (-8.0%). Very stable (CV 0.4%).</t>
  </si>
  <si>
    <t>Slowest tier: a large, real deficit (-8.0%, p&lt;0.05). Reject for performance use.</t>
  </si>
  <si>
    <t>Clearly below field (-8.2%). Microsoft stock plan.</t>
  </si>
  <si>
    <t>Microsoft stock plan. Reliably -8.2% under the best community plans (p&lt;0.05) - confirms the tuned plans give a genuine uplift. Baseline reference, not a performance pick.</t>
  </si>
  <si>
    <t>Clearly below field (-8.2%). Very stable (CV 0.3%).</t>
  </si>
  <si>
    <t>Slowest tier: a large, real deficit (-8.2%, p&lt;0.05). Reject for performance use.</t>
  </si>
  <si>
    <t>Clearly below field (-13.3%).</t>
  </si>
  <si>
    <t>Slowest tier: a large, real deficit (-13.3%, p&lt;0.05). Reject for performance use.</t>
  </si>
  <si>
    <t>Clearly below field (-13.8%). Very stable (CV 0.3%).</t>
  </si>
  <si>
    <t>Slowest tier: a large, real deficit (-13.8%, p&lt;0.05). Reject for performance use.</t>
  </si>
  <si>
    <t>Clearly below field (-14.3%). Very stable (CV 0.7%).</t>
  </si>
  <si>
    <t>Slowest tier: a large, real deficit (-14.3%, p&lt;0.05). Reject for performance use.</t>
  </si>
  <si>
    <t>Analyst tally:   Keep = 5    Test again = 4    Reject = 30    (of 39 plans)</t>
  </si>
  <si>
    <t>VERDICT column is editable (dropdown) if you want to override. Colour: green=Keep, amber=Test again, red=Reject.</t>
  </si>
  <si>
    <t>Fortnite Power-Plan FPS Benchmark | Test Setup &amp; Methodology</t>
  </si>
  <si>
    <t>Validation of Windows power-plan performance, integrity-first, repeated captures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</si>
</sst>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
  </numFmts>
  <fonts count="31" x14ac:knownFonts="1">
    <font>
      <sz val="11"/>
      <color theme="1"/>
      <name val="Calibri"/>
      <family val="2"/>
      <scheme val="minor"/>
    </font>
    <font>
      <b/>
      <sz val="16"/>
      <color rgb="FF1F3864"/>
      <name val="Calibri"/>
      <family val="2"/>
    </font>
    <font>
      <i/>
      <sz val="10"/>
      <color rgb="FF595959"/>
      <name val="Calibri"/>
      <family val="2"/>
    </font>
    <font>
      <b/>
      <sz val="11"/>
      <color rgb="FFFFFFFF"/>
      <name val="Calibri"/>
      <family val="2"/>
    </font>
    <font>
      <b/>
      <sz val="10"/>
      <color rgb="FF1F3864"/>
      <name val="Calibri"/>
      <family val="2"/>
    </font>
    <font>
      <sz val="10"/>
      <color rgb="FF000000"/>
      <name val="Calibri"/>
      <family val="2"/>
    </font>
    <font>
      <sz val="10"/>
      <color rgb="FF595959"/>
      <name val="Calibri"/>
      <family val="2"/>
    </font>
    <font>
      <b/>
      <sz val="10"/>
      <color rgb="FF000000"/>
      <name val="Calibri"/>
      <family val="2"/>
    </font>
    <font>
      <sz val="10"/>
      <color rgb="FF006100"/>
      <name val="Calibri"/>
      <family val="2"/>
    </font>
    <font>
      <b/>
      <sz val="10"/>
      <color rgb="FF006100"/>
      <name val="Calibri"/>
      <family val="2"/>
    </font>
    <font>
      <b/>
      <sz val="11"/>
      <color rgb="FF1F3864"/>
      <name val="Calibri"/>
      <family val="2"/>
    </font>
    <font>
      <b/>
      <sz val="10"/>
      <color rgb="FF2E5496"/>
      <name val="Calibri"/>
      <family val="2"/>
    </font>
    <font>
      <sz val="9"/>
      <color rgb="FF404040"/>
      <name val="Calibri"/>
      <family val="2"/>
    </font>
    <font>
      <b/>
      <sz val="10"/>
      <color rgb="FFFFFFFF"/>
      <name val="Calibri"/>
      <family val="2"/>
    </font>
    <font>
      <b/>
      <sz val="8"/>
      <color rgb="FF1F3864"/>
      <name val="Calibri"/>
      <family val="2"/>
    </font>
    <font>
      <sz val="8"/>
      <color rgb="FF000000"/>
      <name val="Calibri"/>
      <family val="2"/>
    </font>
    <font>
      <b/>
      <sz val="15"/>
      <color rgb="FF1F3864"/>
      <name val="Calibri"/>
      <family val="2"/>
    </font>
    <font>
      <i/>
      <sz val="9"/>
      <color rgb="FF595959"/>
      <name val="Calibri"/>
      <family val="2"/>
    </font>
    <font>
      <b/>
      <sz val="9"/>
      <color rgb="FF006100"/>
      <name val="Calibri"/>
      <family val="2"/>
    </font>
    <font>
      <b/>
      <sz val="9"/>
      <color rgb="FF9C0006"/>
      <name val="Calibri"/>
      <family val="2"/>
    </font>
    <font>
      <b/>
      <sz val="10"/>
      <color rgb="FF9C0006"/>
      <name val="Calibri"/>
      <family val="2"/>
    </font>
    <font>
      <b/>
      <sz val="9"/>
      <color rgb="FF7F6000"/>
      <name val="Calibri"/>
      <family val="2"/>
    </font>
    <font>
      <b/>
      <sz val="10"/>
      <color rgb="FF7F6000"/>
      <name val="Calibri"/>
      <family val="2"/>
    </font>
    <font>
      <b/>
      <sz val="9"/>
      <color rgb="FF1F3864"/>
      <name val="Calibri"/>
      <family val="2"/>
    </font>
    <font>
      <sz val="10"/>
      <color rgb="FF404040"/>
      <name val="Calibri"/>
      <family val="2"/>
    </font>
    <font>
      <sz val="10"/>
      <color rgb="FF7F6000"/>
      <name val="Calibri"/>
      <family val="2"/>
    </font>
    <font>
      <b/>
      <sz val="8"/>
      <color rgb="FF808080"/>
      <name val="Calibri"/>
      <family val="2"/>
    </font>
    <font>
      <b/>
      <sz val="12"/>
      <color rgb="FF2E5496"/>
      <name val="Calibri"/>
      <family val="2"/>
    </font>
    <font>
      <b/>
      <sz val="8"/>
      <color rgb="FF000000"/>
      <name val="Calibri"/>
      <family val="2"/>
    </font>
    <font>
      <sz val="9"/>
      <color rgb="FF222222"/>
      <name val="Calibri"/>
      <family val="2"/>
    </font>
    <font>
      <b/>
      <sz val="10"/>
      <color rgb="FF9C6500"/>
      <name val="Calibri"/>
      <family val="2"/>
    </font>
  </fonts>
  <fills count="17">
    <fill>
      <patternFill patternType="none"/>
    </fill>
    <fill>
      <patternFill patternType="gray125"/>
    </fill>
    <fill>
      <patternFill patternType="solid">
        <fgColor rgb="FF2E5496"/>
      </patternFill>
    </fill>
    <fill>
      <patternFill patternType="solid">
        <fgColor rgb="FFEDF1F9"/>
      </patternFill>
    </fill>
    <fill>
      <patternFill patternType="solid">
        <fgColor rgb="FF1F3864"/>
      </patternFill>
    </fill>
    <fill>
      <patternFill patternType="solid">
        <fgColor rgb="FF8EAADB"/>
      </patternFill>
    </fill>
    <fill>
      <patternFill patternType="solid">
        <fgColor rgb="FFFFFFFF"/>
      </patternFill>
    </fill>
    <fill>
      <patternFill patternType="solid">
        <fgColor rgb="FFF2F2F2"/>
      </patternFill>
    </fill>
    <fill>
      <patternFill patternType="solid">
        <fgColor rgb="FFFFF2CC"/>
      </patternFill>
    </fill>
    <fill>
      <patternFill patternType="solid">
        <fgColor rgb="FFC6EFCE"/>
      </patternFill>
    </fill>
    <fill>
      <patternFill patternType="solid">
        <fgColor rgb="FFFFC7CE"/>
      </patternFill>
    </fill>
    <fill>
      <patternFill patternType="solid">
        <fgColor rgb="FFFFE699"/>
      </patternFill>
    </fill>
    <fill>
      <patternFill patternType="solid">
        <fgColor rgb="FFD9E1F2"/>
      </patternFill>
    </fill>
    <fill>
      <patternFill patternType="solid">
        <fgColor rgb="FFFFEB9C"/>
      </patternFill>
    </fill>
    <fill>
      <patternFill patternType="solid">
        <fgColor theme="6" tint="0.59999389629810485"/>
        <bgColor indexed="64"/>
      </patternFill>
    </fill>
    <fill>
      <patternFill patternType="solid">
        <fgColor theme="5" tint="0.59999389629810485"/>
        <bgColor indexed="64"/>
      </patternFill>
    </fill>
    <fill>
      <patternFill patternType="solid">
        <fgColor theme="4" tint="0.7999816888943144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9">
    <xf numFmtId="0" fontId="0" fillId="0" borderId="0" xfId="0"/>
    <xf numFmtId="0" fontId="10" fillId="0" borderId="0" xfId="0" applyFont="1"/>
    <xf numFmtId="0" fontId="4" fillId="3" borderId="1" xfId="0" applyFont="1" applyFill="1" applyBorder="1" applyAlignment="1">
      <alignment vertical="center" indent="1"/>
    </xf>
    <xf numFmtId="0" fontId="5" fillId="0" borderId="1" xfId="0" applyFont="1" applyBorder="1" applyAlignment="1">
      <alignment vertical="center" wrapText="1" indent="1"/>
    </xf>
    <xf numFmtId="0" fontId="11" fillId="0" borderId="0" xfId="0" applyFont="1" applyAlignment="1">
      <alignment vertical="top" wrapText="1"/>
    </xf>
    <xf numFmtId="0" fontId="12" fillId="0" borderId="0" xfId="0" applyFont="1" applyAlignment="1">
      <alignment vertical="top" wrapText="1"/>
    </xf>
    <xf numFmtId="0" fontId="6" fillId="0" borderId="1" xfId="0" applyFont="1" applyBorder="1" applyAlignment="1">
      <alignment vertical="center" wrapText="1" indent="1"/>
    </xf>
    <xf numFmtId="0" fontId="7" fillId="0" borderId="1" xfId="0" applyFont="1" applyBorder="1" applyAlignment="1">
      <alignment vertical="center" wrapText="1" indent="1"/>
    </xf>
    <xf numFmtId="0" fontId="8" fillId="0" borderId="1" xfId="0" applyFont="1" applyBorder="1" applyAlignment="1">
      <alignment vertical="center" wrapText="1" indent="1"/>
    </xf>
    <xf numFmtId="0" fontId="9" fillId="0" borderId="1" xfId="0" applyFont="1" applyBorder="1" applyAlignment="1">
      <alignment vertical="center" wrapText="1" indent="1"/>
    </xf>
    <xf numFmtId="0" fontId="1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5" fillId="6" borderId="1" xfId="0" applyFont="1" applyFill="1" applyBorder="1" applyAlignment="1">
      <alignment horizontal="left" vertical="center"/>
    </xf>
    <xf numFmtId="0" fontId="5" fillId="6" borderId="1" xfId="0" applyFont="1" applyFill="1" applyBorder="1" applyAlignment="1">
      <alignment horizontal="center" vertical="center"/>
    </xf>
    <xf numFmtId="3" fontId="5" fillId="6" borderId="1" xfId="0" applyNumberFormat="1" applyFont="1" applyFill="1" applyBorder="1" applyAlignment="1">
      <alignment horizontal="center" vertical="center"/>
    </xf>
    <xf numFmtId="2" fontId="5" fillId="6" borderId="1" xfId="0" applyNumberFormat="1" applyFont="1" applyFill="1" applyBorder="1" applyAlignment="1">
      <alignment horizontal="center" vertical="center"/>
    </xf>
    <xf numFmtId="1" fontId="5" fillId="6" borderId="1" xfId="0" applyNumberFormat="1" applyFont="1" applyFill="1" applyBorder="1" applyAlignment="1">
      <alignment horizontal="center" vertical="center"/>
    </xf>
    <xf numFmtId="2" fontId="7" fillId="6" borderId="1" xfId="0" applyNumberFormat="1" applyFont="1" applyFill="1" applyBorder="1" applyAlignment="1">
      <alignment horizontal="center" vertical="center"/>
    </xf>
    <xf numFmtId="164" fontId="5" fillId="6" borderId="1" xfId="0" applyNumberFormat="1" applyFont="1" applyFill="1" applyBorder="1" applyAlignment="1">
      <alignment horizontal="center" vertical="center"/>
    </xf>
    <xf numFmtId="0" fontId="15" fillId="6" borderId="1" xfId="0" applyFont="1" applyFill="1" applyBorder="1" applyAlignment="1">
      <alignment horizontal="center"/>
    </xf>
    <xf numFmtId="0" fontId="5" fillId="7" borderId="1" xfId="0" applyFont="1" applyFill="1" applyBorder="1" applyAlignment="1">
      <alignment horizontal="left" vertical="center"/>
    </xf>
    <xf numFmtId="0" fontId="5" fillId="7" borderId="1" xfId="0" applyFont="1" applyFill="1" applyBorder="1" applyAlignment="1">
      <alignment horizontal="center" vertical="center"/>
    </xf>
    <xf numFmtId="3" fontId="5" fillId="7" borderId="1" xfId="0" applyNumberFormat="1" applyFont="1" applyFill="1" applyBorder="1" applyAlignment="1">
      <alignment horizontal="center" vertical="center"/>
    </xf>
    <xf numFmtId="2" fontId="5" fillId="7" borderId="1" xfId="0" applyNumberFormat="1" applyFont="1" applyFill="1" applyBorder="1" applyAlignment="1">
      <alignment horizontal="center" vertical="center"/>
    </xf>
    <xf numFmtId="1" fontId="5" fillId="7" borderId="1" xfId="0" applyNumberFormat="1" applyFont="1" applyFill="1" applyBorder="1" applyAlignment="1">
      <alignment horizontal="center" vertical="center"/>
    </xf>
    <xf numFmtId="2" fontId="7" fillId="7" borderId="1" xfId="0" applyNumberFormat="1" applyFont="1" applyFill="1" applyBorder="1" applyAlignment="1">
      <alignment horizontal="center" vertical="center"/>
    </xf>
    <xf numFmtId="164" fontId="5" fillId="7" borderId="1" xfId="0" applyNumberFormat="1" applyFont="1" applyFill="1" applyBorder="1" applyAlignment="1">
      <alignment horizontal="center" vertical="center"/>
    </xf>
    <xf numFmtId="0" fontId="15" fillId="7" borderId="1" xfId="0" applyFont="1" applyFill="1" applyBorder="1" applyAlignment="1">
      <alignment horizontal="center"/>
    </xf>
    <xf numFmtId="0" fontId="5" fillId="8" borderId="1" xfId="0" applyFont="1" applyFill="1" applyBorder="1" applyAlignment="1">
      <alignment horizontal="left" vertical="center"/>
    </xf>
    <xf numFmtId="0" fontId="5" fillId="8" borderId="1" xfId="0" applyFont="1" applyFill="1" applyBorder="1" applyAlignment="1">
      <alignment horizontal="center" vertical="center"/>
    </xf>
    <xf numFmtId="3" fontId="5" fillId="8" borderId="1" xfId="0" applyNumberFormat="1" applyFont="1" applyFill="1" applyBorder="1" applyAlignment="1">
      <alignment horizontal="center" vertical="center"/>
    </xf>
    <xf numFmtId="2" fontId="5" fillId="8" borderId="1" xfId="0" applyNumberFormat="1" applyFont="1" applyFill="1" applyBorder="1" applyAlignment="1">
      <alignment horizontal="center" vertical="center"/>
    </xf>
    <xf numFmtId="1" fontId="5" fillId="8" borderId="1" xfId="0" applyNumberFormat="1" applyFont="1" applyFill="1" applyBorder="1" applyAlignment="1">
      <alignment horizontal="center" vertical="center"/>
    </xf>
    <xf numFmtId="2" fontId="7" fillId="8" borderId="1" xfId="0" applyNumberFormat="1" applyFont="1" applyFill="1" applyBorder="1" applyAlignment="1">
      <alignment horizontal="center" vertical="center"/>
    </xf>
    <xf numFmtId="164" fontId="5" fillId="8" borderId="1" xfId="0" applyNumberFormat="1" applyFont="1" applyFill="1" applyBorder="1" applyAlignment="1">
      <alignment horizontal="center" vertical="center"/>
    </xf>
    <xf numFmtId="0" fontId="15" fillId="8" borderId="1" xfId="0" applyFont="1" applyFill="1" applyBorder="1" applyAlignment="1">
      <alignment horizontal="center"/>
    </xf>
    <xf numFmtId="0" fontId="16" fillId="0" borderId="0" xfId="0" applyFont="1"/>
    <xf numFmtId="0" fontId="17" fillId="0" borderId="0" xfId="0" applyFont="1"/>
    <xf numFmtId="0" fontId="7" fillId="6" borderId="1" xfId="0" applyFont="1" applyFill="1" applyBorder="1" applyAlignment="1">
      <alignment horizontal="left" vertical="center"/>
    </xf>
    <xf numFmtId="0" fontId="5" fillId="6" borderId="1" xfId="0" applyFont="1" applyFill="1" applyBorder="1" applyAlignment="1">
      <alignment horizontal="left" vertical="center" wrapText="1"/>
    </xf>
    <xf numFmtId="0" fontId="7" fillId="7" borderId="1" xfId="0" applyFont="1" applyFill="1" applyBorder="1" applyAlignment="1">
      <alignment horizontal="left" vertical="center"/>
    </xf>
    <xf numFmtId="0" fontId="5" fillId="7" borderId="1" xfId="0" applyFont="1" applyFill="1" applyBorder="1" applyAlignment="1">
      <alignment horizontal="left" vertical="center" wrapText="1"/>
    </xf>
    <xf numFmtId="0" fontId="7" fillId="6" borderId="1" xfId="0" applyFont="1" applyFill="1" applyBorder="1" applyAlignment="1">
      <alignment horizontal="center" vertical="center"/>
    </xf>
    <xf numFmtId="0" fontId="24" fillId="6" borderId="1" xfId="0" applyFont="1" applyFill="1" applyBorder="1" applyAlignment="1">
      <alignment horizontal="center" vertical="center"/>
    </xf>
    <xf numFmtId="2" fontId="7" fillId="6" borderId="1" xfId="0" applyNumberFormat="1" applyFont="1" applyFill="1" applyBorder="1" applyAlignment="1">
      <alignment horizontal="center"/>
    </xf>
    <xf numFmtId="165" fontId="5" fillId="6" borderId="1" xfId="0" applyNumberFormat="1" applyFont="1" applyFill="1" applyBorder="1" applyAlignment="1">
      <alignment horizontal="center" vertical="center"/>
    </xf>
    <xf numFmtId="0" fontId="25" fillId="6" borderId="1" xfId="0" applyFont="1" applyFill="1" applyBorder="1" applyAlignment="1">
      <alignment horizontal="center" vertical="center"/>
    </xf>
    <xf numFmtId="0" fontId="22" fillId="6" borderId="1" xfId="0" applyFont="1" applyFill="1" applyBorder="1" applyAlignment="1">
      <alignment horizontal="center" vertical="center"/>
    </xf>
    <xf numFmtId="0" fontId="7" fillId="7" borderId="1" xfId="0" applyFont="1" applyFill="1" applyBorder="1" applyAlignment="1">
      <alignment horizontal="center" vertical="center"/>
    </xf>
    <xf numFmtId="0" fontId="24" fillId="7" borderId="1" xfId="0" applyFont="1" applyFill="1" applyBorder="1" applyAlignment="1">
      <alignment horizontal="center" vertical="center"/>
    </xf>
    <xf numFmtId="2" fontId="7" fillId="7" borderId="1" xfId="0" applyNumberFormat="1" applyFont="1" applyFill="1" applyBorder="1" applyAlignment="1">
      <alignment horizontal="center"/>
    </xf>
    <xf numFmtId="165" fontId="5" fillId="7" borderId="1" xfId="0" applyNumberFormat="1" applyFont="1" applyFill="1" applyBorder="1" applyAlignment="1">
      <alignment horizontal="center" vertical="center"/>
    </xf>
    <xf numFmtId="166" fontId="5" fillId="7" borderId="1" xfId="0" applyNumberFormat="1" applyFont="1" applyFill="1" applyBorder="1" applyAlignment="1">
      <alignment horizontal="center" vertical="center"/>
    </xf>
    <xf numFmtId="166" fontId="5" fillId="6" borderId="1" xfId="0" applyNumberFormat="1" applyFont="1" applyFill="1" applyBorder="1" applyAlignment="1">
      <alignment horizontal="center" vertical="center"/>
    </xf>
    <xf numFmtId="0" fontId="7" fillId="8" borderId="1" xfId="0" applyFont="1" applyFill="1" applyBorder="1" applyAlignment="1">
      <alignment horizontal="center" vertical="center"/>
    </xf>
    <xf numFmtId="0" fontId="7" fillId="8" borderId="1" xfId="0" applyFont="1" applyFill="1" applyBorder="1" applyAlignment="1">
      <alignment horizontal="left" vertical="center"/>
    </xf>
    <xf numFmtId="0" fontId="25" fillId="8" borderId="1" xfId="0" applyFont="1" applyFill="1" applyBorder="1" applyAlignment="1">
      <alignment horizontal="center" vertical="center"/>
    </xf>
    <xf numFmtId="2" fontId="7" fillId="8" borderId="1" xfId="0" applyNumberFormat="1" applyFont="1" applyFill="1" applyBorder="1" applyAlignment="1">
      <alignment horizontal="center"/>
    </xf>
    <xf numFmtId="165" fontId="5" fillId="8" borderId="1" xfId="0" applyNumberFormat="1" applyFont="1" applyFill="1" applyBorder="1" applyAlignment="1">
      <alignment horizontal="center" vertical="center"/>
    </xf>
    <xf numFmtId="166" fontId="5" fillId="8" borderId="1" xfId="0" applyNumberFormat="1" applyFont="1" applyFill="1" applyBorder="1" applyAlignment="1">
      <alignment horizontal="center" vertical="center"/>
    </xf>
    <xf numFmtId="0" fontId="26" fillId="0" borderId="0" xfId="0" applyFont="1"/>
    <xf numFmtId="0" fontId="15" fillId="0" borderId="0" xfId="0" applyFont="1"/>
    <xf numFmtId="0" fontId="28" fillId="0" borderId="0" xfId="0" applyFont="1"/>
    <xf numFmtId="0" fontId="9" fillId="9" borderId="1" xfId="0" applyFont="1" applyFill="1" applyBorder="1" applyAlignment="1">
      <alignment horizontal="center" vertical="center"/>
    </xf>
    <xf numFmtId="0" fontId="9" fillId="7" borderId="1" xfId="0" applyFont="1" applyFill="1" applyBorder="1" applyAlignment="1">
      <alignment horizontal="center" vertical="center"/>
    </xf>
    <xf numFmtId="0" fontId="30" fillId="13" borderId="1" xfId="0" applyFont="1" applyFill="1" applyBorder="1" applyAlignment="1">
      <alignment horizontal="center" vertical="center"/>
    </xf>
    <xf numFmtId="0" fontId="20" fillId="10" borderId="1" xfId="0" applyFont="1" applyFill="1" applyBorder="1" applyAlignment="1">
      <alignment horizontal="center" vertical="center"/>
    </xf>
    <xf numFmtId="0" fontId="9" fillId="6" borderId="1" xfId="0" applyFont="1" applyFill="1" applyBorder="1" applyAlignment="1">
      <alignment horizontal="center" vertical="center"/>
    </xf>
    <xf numFmtId="0" fontId="24" fillId="8" borderId="1" xfId="0" applyFont="1" applyFill="1" applyBorder="1" applyAlignment="1">
      <alignment horizontal="center" vertical="center"/>
    </xf>
    <xf numFmtId="0" fontId="5" fillId="8" borderId="1" xfId="0" applyFont="1" applyFill="1" applyBorder="1" applyAlignment="1">
      <alignment horizontal="left" vertical="center" wrapText="1"/>
    </xf>
    <xf numFmtId="0" fontId="3" fillId="2" borderId="0" xfId="0" applyFont="1" applyFill="1" applyAlignment="1">
      <alignment vertical="center" indent="1"/>
    </xf>
    <xf numFmtId="0" fontId="0" fillId="0" borderId="0" xfId="0"/>
    <xf numFmtId="0" fontId="1" fillId="0" borderId="0" xfId="0" applyFont="1" applyAlignment="1">
      <alignment vertical="center"/>
    </xf>
    <xf numFmtId="0" fontId="2" fillId="0" borderId="0" xfId="0" applyFont="1"/>
    <xf numFmtId="0" fontId="16" fillId="0" borderId="0" xfId="0" applyFont="1"/>
    <xf numFmtId="0" fontId="17" fillId="0" borderId="0" xfId="0" applyFont="1"/>
    <xf numFmtId="0" fontId="4" fillId="12" borderId="1" xfId="0" applyFont="1" applyFill="1" applyBorder="1" applyAlignment="1">
      <alignment horizontal="center" vertical="center" wrapText="1"/>
    </xf>
    <xf numFmtId="0" fontId="0" fillId="0" borderId="1" xfId="0" applyBorder="1"/>
    <xf numFmtId="0" fontId="12" fillId="0" borderId="0" xfId="0" applyFont="1" applyAlignment="1">
      <alignment vertical="center" wrapText="1"/>
    </xf>
    <xf numFmtId="0" fontId="23" fillId="12"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20" fillId="10" borderId="1" xfId="0" applyFont="1" applyFill="1" applyBorder="1" applyAlignment="1">
      <alignment horizontal="center" vertical="center" wrapText="1"/>
    </xf>
    <xf numFmtId="0" fontId="22" fillId="11" borderId="1" xfId="0" applyFont="1" applyFill="1" applyBorder="1" applyAlignment="1">
      <alignment horizontal="center" vertical="center" wrapText="1"/>
    </xf>
    <xf numFmtId="0" fontId="18" fillId="9" borderId="1" xfId="0" applyFont="1" applyFill="1" applyBorder="1" applyAlignment="1">
      <alignment horizontal="center" vertical="center" wrapText="1"/>
    </xf>
    <xf numFmtId="0" fontId="19" fillId="10" borderId="1" xfId="0" applyFont="1" applyFill="1" applyBorder="1" applyAlignment="1">
      <alignment horizontal="center" vertical="center" wrapText="1"/>
    </xf>
    <xf numFmtId="0" fontId="21" fillId="11" borderId="1" xfId="0" applyFont="1" applyFill="1" applyBorder="1" applyAlignment="1">
      <alignment horizontal="center" vertical="center" wrapText="1"/>
    </xf>
    <xf numFmtId="0" fontId="27" fillId="0" borderId="0" xfId="0" applyFont="1"/>
    <xf numFmtId="0" fontId="12" fillId="0" borderId="0" xfId="0" applyFont="1" applyAlignment="1">
      <alignment vertical="top" wrapText="1"/>
    </xf>
    <xf numFmtId="0" fontId="29" fillId="15" borderId="1" xfId="0" applyFont="1" applyFill="1" applyBorder="1" applyAlignment="1">
      <alignment vertical="top" wrapText="1" indent="1"/>
    </xf>
    <xf numFmtId="0" fontId="0" fillId="15" borderId="1" xfId="0" applyFill="1" applyBorder="1"/>
    <xf numFmtId="0" fontId="29" fillId="16" borderId="1" xfId="0" applyFont="1" applyFill="1" applyBorder="1" applyAlignment="1">
      <alignment vertical="top" wrapText="1" indent="1"/>
    </xf>
    <xf numFmtId="0" fontId="0" fillId="16" borderId="1" xfId="0" applyFill="1" applyBorder="1"/>
    <xf numFmtId="0" fontId="4" fillId="14" borderId="1" xfId="0" applyFont="1" applyFill="1" applyBorder="1" applyAlignment="1">
      <alignment vertical="top" wrapText="1" indent="1"/>
    </xf>
    <xf numFmtId="0" fontId="0" fillId="14" borderId="1" xfId="0" applyFill="1" applyBorder="1"/>
    <xf numFmtId="0" fontId="4" fillId="16" borderId="1" xfId="0" applyFont="1" applyFill="1" applyBorder="1" applyAlignment="1">
      <alignment vertical="top" wrapText="1" indent="1"/>
    </xf>
    <xf numFmtId="0" fontId="4" fillId="0" borderId="0" xfId="0" applyFont="1"/>
    <xf numFmtId="0" fontId="4" fillId="15" borderId="1" xfId="0" applyFont="1" applyFill="1" applyBorder="1" applyAlignment="1">
      <alignment vertical="top" wrapText="1" indent="1"/>
    </xf>
    <xf numFmtId="0" fontId="29" fillId="14" borderId="1" xfId="0" applyFont="1" applyFill="1" applyBorder="1" applyAlignment="1">
      <alignment vertical="top"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Mean Avg FPS by Power Plan - HIGHER IS BETTER (n=5)</a:t>
            </a:r>
          </a:p>
        </c:rich>
      </c:tx>
      <c:layout>
        <c:manualLayout>
          <c:xMode val="edge"/>
          <c:yMode val="edge"/>
          <c:x val="0.33125039682539681"/>
          <c:y val="0"/>
        </c:manualLayout>
      </c:layout>
      <c:overlay val="1"/>
    </c:title>
    <c:autoTitleDeleted val="0"/>
    <c:plotArea>
      <c:layout/>
      <c:barChart>
        <c:barDir val="bar"/>
        <c:grouping val="clustered"/>
        <c:varyColors val="0"/>
        <c:ser>
          <c:idx val="0"/>
          <c:order val="0"/>
          <c:tx>
            <c:strRef>
              <c:f>'4. Statistical Analysis'!$E$9</c:f>
              <c:strCache>
                <c:ptCount val="1"/>
                <c:pt idx="0">
                  <c:v>Avg FPS
mean</c:v>
                </c:pt>
              </c:strCache>
            </c:strRef>
          </c:tx>
          <c:spPr>
            <a:ln>
              <a:prstDash val="solid"/>
            </a:ln>
          </c:spPr>
          <c:invertIfNegative val="1"/>
          <c:dLbls>
            <c:spPr>
              <a:noFill/>
              <a:ln>
                <a:noFill/>
              </a:ln>
              <a:effectLst/>
            </c:spPr>
            <c:txPr>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 Graphs'!$AB$8:$AB$46</c:f>
              <c:strCache>
                <c:ptCount val="39"/>
                <c:pt idx="0">
                  <c:v>Arsenza-INTEL</c:v>
                </c:pt>
                <c:pt idx="1">
                  <c:v>EndGame</c:v>
                </c:pt>
                <c:pt idx="2">
                  <c:v>Prodazin</c:v>
                </c:pt>
                <c:pt idx="3">
                  <c:v>AMIT</c:v>
                </c:pt>
                <c:pt idx="4">
                  <c:v>LLG-CERTIFIED-FOR-PARKING+E-CORES-FIX</c:v>
                </c:pt>
                <c:pt idx="5">
                  <c:v>Synez</c:v>
                </c:pt>
                <c:pt idx="6">
                  <c:v>Revision</c:v>
                </c:pt>
                <c:pt idx="7">
                  <c:v>Reticle</c:v>
                </c:pt>
                <c:pt idx="8">
                  <c:v>LLG-CERTIFIED-FOR-NON-K-CPUs</c:v>
                </c:pt>
                <c:pt idx="9">
                  <c:v>CactusOS</c:v>
                </c:pt>
                <c:pt idx="10">
                  <c:v>Imribiy-2026</c:v>
                </c:pt>
                <c:pt idx="11">
                  <c:v>FPSHEAVEN2026</c:v>
                </c:pt>
                <c:pt idx="12">
                  <c:v>Mitstas</c:v>
                </c:pt>
                <c:pt idx="13">
                  <c:v>Bitsum-Highest-Performance</c:v>
                </c:pt>
                <c:pt idx="14">
                  <c:v>AutoOS</c:v>
                </c:pt>
                <c:pt idx="15">
                  <c:v>RIP</c:v>
                </c:pt>
                <c:pt idx="16">
                  <c:v>Slower</c:v>
                </c:pt>
                <c:pt idx="17">
                  <c:v>BEYOND-PERFORMANCE-AMD-INTEL-V1</c:v>
                </c:pt>
                <c:pt idx="18">
                  <c:v>Iris</c:v>
                </c:pt>
                <c:pt idx="19">
                  <c:v>Sapphire</c:v>
                </c:pt>
                <c:pt idx="20">
                  <c:v>Sazinho</c:v>
                </c:pt>
                <c:pt idx="21">
                  <c:v>JokrOS</c:v>
                </c:pt>
                <c:pt idx="22">
                  <c:v>Khorvie</c:v>
                </c:pt>
                <c:pt idx="23">
                  <c:v>GALA'S-Ultimate-Performance-AMD</c:v>
                </c:pt>
                <c:pt idx="24">
                  <c:v>Jackpot2026</c:v>
                </c:pt>
                <c:pt idx="25">
                  <c:v>Arsezna-ALL-CPU</c:v>
                </c:pt>
                <c:pt idx="26">
                  <c:v>RoscaV2</c:v>
                </c:pt>
                <c:pt idx="27">
                  <c:v>GPU-BOOSTER</c:v>
                </c:pt>
                <c:pt idx="28">
                  <c:v>IIIEXOIII</c:v>
                </c:pt>
                <c:pt idx="29">
                  <c:v>Hybred-Low-Latency</c:v>
                </c:pt>
                <c:pt idx="30">
                  <c:v>MSFT-High-Performance</c:v>
                </c:pt>
                <c:pt idx="31">
                  <c:v>GTweaks</c:v>
                </c:pt>
                <c:pt idx="32">
                  <c:v>Kizzimo</c:v>
                </c:pt>
                <c:pt idx="33">
                  <c:v>XNRL</c:v>
                </c:pt>
                <c:pt idx="34">
                  <c:v>MSFT-UltimatePerformance</c:v>
                </c:pt>
                <c:pt idx="35">
                  <c:v>XILLY'S</c:v>
                </c:pt>
                <c:pt idx="36">
                  <c:v>LowLatency</c:v>
                </c:pt>
                <c:pt idx="37">
                  <c:v>VTRL</c:v>
                </c:pt>
                <c:pt idx="38">
                  <c:v>Velo's</c:v>
                </c:pt>
              </c:strCache>
            </c:strRef>
          </c:cat>
          <c:val>
            <c:numRef>
              <c:f>'4. Statistical Analysis'!$E$10:$E$48</c:f>
              <c:numCache>
                <c:formatCode>0.00</c:formatCode>
                <c:ptCount val="39"/>
                <c:pt idx="0">
                  <c:v>242.01937892606401</c:v>
                </c:pt>
                <c:pt idx="1">
                  <c:v>240.81103481225728</c:v>
                </c:pt>
                <c:pt idx="2">
                  <c:v>239.28010125628833</c:v>
                </c:pt>
                <c:pt idx="3">
                  <c:v>239.03041825760155</c:v>
                </c:pt>
                <c:pt idx="4">
                  <c:v>238.60991382224566</c:v>
                </c:pt>
                <c:pt idx="5">
                  <c:v>237.9338177433311</c:v>
                </c:pt>
                <c:pt idx="6">
                  <c:v>237.23654741547944</c:v>
                </c:pt>
                <c:pt idx="7">
                  <c:v>236.74462401788395</c:v>
                </c:pt>
                <c:pt idx="8">
                  <c:v>236.63058612757476</c:v>
                </c:pt>
                <c:pt idx="9">
                  <c:v>236.39090050769147</c:v>
                </c:pt>
                <c:pt idx="10">
                  <c:v>235.32780132712188</c:v>
                </c:pt>
                <c:pt idx="11">
                  <c:v>234.922477787974</c:v>
                </c:pt>
                <c:pt idx="12">
                  <c:v>233.13344563550331</c:v>
                </c:pt>
                <c:pt idx="13">
                  <c:v>232.8543586152376</c:v>
                </c:pt>
                <c:pt idx="14">
                  <c:v>231.27970787898215</c:v>
                </c:pt>
                <c:pt idx="15">
                  <c:v>230.79199370602714</c:v>
                </c:pt>
                <c:pt idx="16">
                  <c:v>230.4521088853308</c:v>
                </c:pt>
                <c:pt idx="17">
                  <c:v>230.44443374544045</c:v>
                </c:pt>
                <c:pt idx="18">
                  <c:v>229.91298106864141</c:v>
                </c:pt>
                <c:pt idx="19">
                  <c:v>229.64507146135247</c:v>
                </c:pt>
                <c:pt idx="20">
                  <c:v>229.08120604614624</c:v>
                </c:pt>
                <c:pt idx="21">
                  <c:v>228.55973000354115</c:v>
                </c:pt>
                <c:pt idx="22">
                  <c:v>228.46359991410424</c:v>
                </c:pt>
                <c:pt idx="23">
                  <c:v>228.0791307736059</c:v>
                </c:pt>
                <c:pt idx="24">
                  <c:v>227.86704657717556</c:v>
                </c:pt>
                <c:pt idx="25">
                  <c:v>227.51220447133136</c:v>
                </c:pt>
                <c:pt idx="26">
                  <c:v>227.40213987001349</c:v>
                </c:pt>
                <c:pt idx="27">
                  <c:v>227.28951660350435</c:v>
                </c:pt>
                <c:pt idx="28">
                  <c:v>226.96542138377626</c:v>
                </c:pt>
                <c:pt idx="29">
                  <c:v>226.61668210657166</c:v>
                </c:pt>
                <c:pt idx="30">
                  <c:v>226.53446293957845</c:v>
                </c:pt>
                <c:pt idx="31">
                  <c:v>226.29302986399679</c:v>
                </c:pt>
                <c:pt idx="32">
                  <c:v>223.53807838647435</c:v>
                </c:pt>
                <c:pt idx="33">
                  <c:v>222.62068879700388</c:v>
                </c:pt>
                <c:pt idx="34">
                  <c:v>222.1958712950865</c:v>
                </c:pt>
                <c:pt idx="35">
                  <c:v>222.18521855787566</c:v>
                </c:pt>
                <c:pt idx="36">
                  <c:v>209.7965956211593</c:v>
                </c:pt>
                <c:pt idx="37">
                  <c:v>208.6708573991491</c:v>
                </c:pt>
                <c:pt idx="38">
                  <c:v>207.34643329270042</c:v>
                </c:pt>
              </c:numCache>
            </c:numRef>
          </c:val>
          <c:extLst>
            <c:ext xmlns:c16="http://schemas.microsoft.com/office/drawing/2014/chart" uri="{C3380CC4-5D6E-409C-BE32-E72D297353CC}">
              <c16:uniqueId val="{00000000-DA4B-4380-95F9-A71D9A75C4AB}"/>
            </c:ext>
          </c:extLst>
        </c:ser>
        <c:dLbls>
          <c:showLegendKey val="0"/>
          <c:showVal val="1"/>
          <c:showCatName val="0"/>
          <c:showSerName val="0"/>
          <c:showPercent val="0"/>
          <c:showBubbleSize val="0"/>
        </c:dLbls>
        <c:gapWidth val="150"/>
        <c:axId val="10"/>
        <c:axId val="100"/>
      </c:barChart>
      <c:catAx>
        <c:axId val="10"/>
        <c:scaling>
          <c:orientation val="minMax"/>
        </c:scaling>
        <c:delete val="0"/>
        <c:axPos val="l"/>
        <c:title>
          <c:tx>
            <c:rich>
              <a:bodyPr/>
              <a:lstStyle/>
              <a:p>
                <a:pPr>
                  <a:defRPr/>
                </a:pPr>
                <a:r>
                  <a:rPr lang="en-US"/>
                  <a:t>Avg FPS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0" sourceLinked="1"/>
        <c:majorTickMark val="none"/>
        <c:minorTickMark val="none"/>
        <c:tickLblPos val="nextTo"/>
        <c:txPr>
          <a:bodyPr/>
          <a:lstStyle/>
          <a:p>
            <a:pPr>
              <a:defRPr sz="700"/>
            </a:pPr>
            <a:endParaRPr lang="en-US"/>
          </a:p>
        </c:tx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en-US" sz="1200"/>
              <a:t>1% Low (P99) &amp; 0.1% Low (P99.9) FPS by Plan - HIGHER IS BETTER</a:t>
            </a:r>
          </a:p>
        </c:rich>
      </c:tx>
      <c:layout>
        <c:manualLayout>
          <c:xMode val="edge"/>
          <c:yMode val="edge"/>
          <c:x val="0.27788849206349209"/>
          <c:y val="0"/>
        </c:manualLayout>
      </c:layout>
      <c:overlay val="1"/>
    </c:title>
    <c:autoTitleDeleted val="0"/>
    <c:plotArea>
      <c:layout/>
      <c:barChart>
        <c:barDir val="bar"/>
        <c:grouping val="clustered"/>
        <c:varyColors val="0"/>
        <c:ser>
          <c:idx val="0"/>
          <c:order val="0"/>
          <c:tx>
            <c:strRef>
              <c:f>'4. Statistical Analysis'!$J$9</c:f>
              <c:strCache>
                <c:ptCount val="1"/>
                <c:pt idx="0">
                  <c:v>1% Low
(P99)</c:v>
                </c:pt>
              </c:strCache>
            </c:strRef>
          </c:tx>
          <c:spPr>
            <a:ln>
              <a:prstDash val="solid"/>
            </a:ln>
          </c:spPr>
          <c:invertIfNegative val="1"/>
          <c:dLbls>
            <c:spPr>
              <a:noFill/>
              <a:ln>
                <a:noFill/>
              </a:ln>
              <a:effectLst/>
            </c:spPr>
            <c:txPr>
              <a:bodyPr/>
              <a:lstStyle/>
              <a:p>
                <a:pPr>
                  <a:defRPr sz="7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 Graphs'!$AB$8:$AB$46</c:f>
              <c:strCache>
                <c:ptCount val="39"/>
                <c:pt idx="0">
                  <c:v>Arsenza-INTEL</c:v>
                </c:pt>
                <c:pt idx="1">
                  <c:v>EndGame</c:v>
                </c:pt>
                <c:pt idx="2">
                  <c:v>Prodazin</c:v>
                </c:pt>
                <c:pt idx="3">
                  <c:v>AMIT</c:v>
                </c:pt>
                <c:pt idx="4">
                  <c:v>LLG-CERTIFIED-FOR-PARKING+E-CORES-FIX</c:v>
                </c:pt>
                <c:pt idx="5">
                  <c:v>Synez</c:v>
                </c:pt>
                <c:pt idx="6">
                  <c:v>Revision</c:v>
                </c:pt>
                <c:pt idx="7">
                  <c:v>Reticle</c:v>
                </c:pt>
                <c:pt idx="8">
                  <c:v>LLG-CERTIFIED-FOR-NON-K-CPUs</c:v>
                </c:pt>
                <c:pt idx="9">
                  <c:v>CactusOS</c:v>
                </c:pt>
                <c:pt idx="10">
                  <c:v>Imribiy-2026</c:v>
                </c:pt>
                <c:pt idx="11">
                  <c:v>FPSHEAVEN2026</c:v>
                </c:pt>
                <c:pt idx="12">
                  <c:v>Mitstas</c:v>
                </c:pt>
                <c:pt idx="13">
                  <c:v>Bitsum-Highest-Performance</c:v>
                </c:pt>
                <c:pt idx="14">
                  <c:v>AutoOS</c:v>
                </c:pt>
                <c:pt idx="15">
                  <c:v>RIP</c:v>
                </c:pt>
                <c:pt idx="16">
                  <c:v>Slower</c:v>
                </c:pt>
                <c:pt idx="17">
                  <c:v>BEYOND-PERFORMANCE-AMD-INTEL-V1</c:v>
                </c:pt>
                <c:pt idx="18">
                  <c:v>Iris</c:v>
                </c:pt>
                <c:pt idx="19">
                  <c:v>Sapphire</c:v>
                </c:pt>
                <c:pt idx="20">
                  <c:v>Sazinho</c:v>
                </c:pt>
                <c:pt idx="21">
                  <c:v>JokrOS</c:v>
                </c:pt>
                <c:pt idx="22">
                  <c:v>Khorvie</c:v>
                </c:pt>
                <c:pt idx="23">
                  <c:v>GALA'S-Ultimate-Performance-AMD</c:v>
                </c:pt>
                <c:pt idx="24">
                  <c:v>Jackpot2026</c:v>
                </c:pt>
                <c:pt idx="25">
                  <c:v>Arsezna-ALL-CPU</c:v>
                </c:pt>
                <c:pt idx="26">
                  <c:v>RoscaV2</c:v>
                </c:pt>
                <c:pt idx="27">
                  <c:v>GPU-BOOSTER</c:v>
                </c:pt>
                <c:pt idx="28">
                  <c:v>IIIEXOIII</c:v>
                </c:pt>
                <c:pt idx="29">
                  <c:v>Hybred-Low-Latency</c:v>
                </c:pt>
                <c:pt idx="30">
                  <c:v>MSFT-High-Performance</c:v>
                </c:pt>
                <c:pt idx="31">
                  <c:v>GTweaks</c:v>
                </c:pt>
                <c:pt idx="32">
                  <c:v>Kizzimo</c:v>
                </c:pt>
                <c:pt idx="33">
                  <c:v>XNRL</c:v>
                </c:pt>
                <c:pt idx="34">
                  <c:v>MSFT-UltimatePerformance</c:v>
                </c:pt>
                <c:pt idx="35">
                  <c:v>XILLY'S</c:v>
                </c:pt>
                <c:pt idx="36">
                  <c:v>LowLatency</c:v>
                </c:pt>
                <c:pt idx="37">
                  <c:v>VTRL</c:v>
                </c:pt>
                <c:pt idx="38">
                  <c:v>Velo's</c:v>
                </c:pt>
              </c:strCache>
            </c:strRef>
          </c:cat>
          <c:val>
            <c:numRef>
              <c:f>'4. Statistical Analysis'!$J$10:$J$48</c:f>
              <c:numCache>
                <c:formatCode>0.00</c:formatCode>
                <c:ptCount val="39"/>
                <c:pt idx="0">
                  <c:v>192.59228439905513</c:v>
                </c:pt>
                <c:pt idx="1">
                  <c:v>190.69523394769971</c:v>
                </c:pt>
                <c:pt idx="2">
                  <c:v>188.2418456418344</c:v>
                </c:pt>
                <c:pt idx="3">
                  <c:v>185.69308263819482</c:v>
                </c:pt>
                <c:pt idx="4">
                  <c:v>191.15591720832728</c:v>
                </c:pt>
                <c:pt idx="5">
                  <c:v>187.88238760919589</c:v>
                </c:pt>
                <c:pt idx="6">
                  <c:v>187.49343469478148</c:v>
                </c:pt>
                <c:pt idx="7">
                  <c:v>179.84575876093129</c:v>
                </c:pt>
                <c:pt idx="8">
                  <c:v>189.46507201290484</c:v>
                </c:pt>
                <c:pt idx="9">
                  <c:v>185.27753452068615</c:v>
                </c:pt>
                <c:pt idx="10">
                  <c:v>188.01592673546739</c:v>
                </c:pt>
                <c:pt idx="11">
                  <c:v>183.20849409548379</c:v>
                </c:pt>
                <c:pt idx="12">
                  <c:v>178.45514035390823</c:v>
                </c:pt>
                <c:pt idx="13">
                  <c:v>177.47691900219962</c:v>
                </c:pt>
                <c:pt idx="14">
                  <c:v>178.72501432323705</c:v>
                </c:pt>
                <c:pt idx="15">
                  <c:v>178.69031837079399</c:v>
                </c:pt>
                <c:pt idx="16">
                  <c:v>176.87280445399963</c:v>
                </c:pt>
                <c:pt idx="17">
                  <c:v>178.87811741798981</c:v>
                </c:pt>
                <c:pt idx="18">
                  <c:v>180.61215991825688</c:v>
                </c:pt>
                <c:pt idx="19">
                  <c:v>175.52310394133255</c:v>
                </c:pt>
                <c:pt idx="20">
                  <c:v>174.21624334975917</c:v>
                </c:pt>
                <c:pt idx="21">
                  <c:v>178.33863844247216</c:v>
                </c:pt>
                <c:pt idx="22">
                  <c:v>179.16336237353204</c:v>
                </c:pt>
                <c:pt idx="23">
                  <c:v>178.35919813863504</c:v>
                </c:pt>
                <c:pt idx="24">
                  <c:v>178.14829760411757</c:v>
                </c:pt>
                <c:pt idx="25">
                  <c:v>177.39390453311344</c:v>
                </c:pt>
                <c:pt idx="26">
                  <c:v>174.27692869880511</c:v>
                </c:pt>
                <c:pt idx="27">
                  <c:v>177.25876384067882</c:v>
                </c:pt>
                <c:pt idx="28">
                  <c:v>177.86600768235064</c:v>
                </c:pt>
                <c:pt idx="29">
                  <c:v>177.43063904721157</c:v>
                </c:pt>
                <c:pt idx="30">
                  <c:v>177.14576716008813</c:v>
                </c:pt>
                <c:pt idx="31">
                  <c:v>176.67523986098394</c:v>
                </c:pt>
                <c:pt idx="32">
                  <c:v>173.83433255470482</c:v>
                </c:pt>
                <c:pt idx="33">
                  <c:v>173.03650277749131</c:v>
                </c:pt>
                <c:pt idx="34">
                  <c:v>172.03789485903377</c:v>
                </c:pt>
                <c:pt idx="35">
                  <c:v>170.7040134158448</c:v>
                </c:pt>
                <c:pt idx="36">
                  <c:v>160.15961790230236</c:v>
                </c:pt>
                <c:pt idx="37">
                  <c:v>167.09006499674368</c:v>
                </c:pt>
                <c:pt idx="38">
                  <c:v>166.79723647849576</c:v>
                </c:pt>
              </c:numCache>
            </c:numRef>
          </c:val>
          <c:extLst>
            <c:ext xmlns:c16="http://schemas.microsoft.com/office/drawing/2014/chart" uri="{C3380CC4-5D6E-409C-BE32-E72D297353CC}">
              <c16:uniqueId val="{00000000-AB62-4421-9EE3-C01C23EEF11C}"/>
            </c:ext>
          </c:extLst>
        </c:ser>
        <c:ser>
          <c:idx val="1"/>
          <c:order val="1"/>
          <c:tx>
            <c:strRef>
              <c:f>'4. Statistical Analysis'!$K$9</c:f>
              <c:strCache>
                <c:ptCount val="1"/>
                <c:pt idx="0">
                  <c:v>0.1% Low
(P99.9)</c:v>
                </c:pt>
              </c:strCache>
            </c:strRef>
          </c:tx>
          <c:spPr>
            <a:ln>
              <a:prstDash val="solid"/>
            </a:ln>
          </c:spPr>
          <c:invertIfNegative val="1"/>
          <c:dLbls>
            <c:spPr>
              <a:noFill/>
              <a:ln>
                <a:noFill/>
              </a:ln>
              <a:effectLst/>
            </c:spPr>
            <c:txPr>
              <a:bodyPr/>
              <a:lstStyle/>
              <a:p>
                <a:pPr>
                  <a:defRPr sz="7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 Graphs'!$AB$8:$AB$46</c:f>
              <c:strCache>
                <c:ptCount val="39"/>
                <c:pt idx="0">
                  <c:v>Arsenza-INTEL</c:v>
                </c:pt>
                <c:pt idx="1">
                  <c:v>EndGame</c:v>
                </c:pt>
                <c:pt idx="2">
                  <c:v>Prodazin</c:v>
                </c:pt>
                <c:pt idx="3">
                  <c:v>AMIT</c:v>
                </c:pt>
                <c:pt idx="4">
                  <c:v>LLG-CERTIFIED-FOR-PARKING+E-CORES-FIX</c:v>
                </c:pt>
                <c:pt idx="5">
                  <c:v>Synez</c:v>
                </c:pt>
                <c:pt idx="6">
                  <c:v>Revision</c:v>
                </c:pt>
                <c:pt idx="7">
                  <c:v>Reticle</c:v>
                </c:pt>
                <c:pt idx="8">
                  <c:v>LLG-CERTIFIED-FOR-NON-K-CPUs</c:v>
                </c:pt>
                <c:pt idx="9">
                  <c:v>CactusOS</c:v>
                </c:pt>
                <c:pt idx="10">
                  <c:v>Imribiy-2026</c:v>
                </c:pt>
                <c:pt idx="11">
                  <c:v>FPSHEAVEN2026</c:v>
                </c:pt>
                <c:pt idx="12">
                  <c:v>Mitstas</c:v>
                </c:pt>
                <c:pt idx="13">
                  <c:v>Bitsum-Highest-Performance</c:v>
                </c:pt>
                <c:pt idx="14">
                  <c:v>AutoOS</c:v>
                </c:pt>
                <c:pt idx="15">
                  <c:v>RIP</c:v>
                </c:pt>
                <c:pt idx="16">
                  <c:v>Slower</c:v>
                </c:pt>
                <c:pt idx="17">
                  <c:v>BEYOND-PERFORMANCE-AMD-INTEL-V1</c:v>
                </c:pt>
                <c:pt idx="18">
                  <c:v>Iris</c:v>
                </c:pt>
                <c:pt idx="19">
                  <c:v>Sapphire</c:v>
                </c:pt>
                <c:pt idx="20">
                  <c:v>Sazinho</c:v>
                </c:pt>
                <c:pt idx="21">
                  <c:v>JokrOS</c:v>
                </c:pt>
                <c:pt idx="22">
                  <c:v>Khorvie</c:v>
                </c:pt>
                <c:pt idx="23">
                  <c:v>GALA'S-Ultimate-Performance-AMD</c:v>
                </c:pt>
                <c:pt idx="24">
                  <c:v>Jackpot2026</c:v>
                </c:pt>
                <c:pt idx="25">
                  <c:v>Arsezna-ALL-CPU</c:v>
                </c:pt>
                <c:pt idx="26">
                  <c:v>RoscaV2</c:v>
                </c:pt>
                <c:pt idx="27">
                  <c:v>GPU-BOOSTER</c:v>
                </c:pt>
                <c:pt idx="28">
                  <c:v>IIIEXOIII</c:v>
                </c:pt>
                <c:pt idx="29">
                  <c:v>Hybred-Low-Latency</c:v>
                </c:pt>
                <c:pt idx="30">
                  <c:v>MSFT-High-Performance</c:v>
                </c:pt>
                <c:pt idx="31">
                  <c:v>GTweaks</c:v>
                </c:pt>
                <c:pt idx="32">
                  <c:v>Kizzimo</c:v>
                </c:pt>
                <c:pt idx="33">
                  <c:v>XNRL</c:v>
                </c:pt>
                <c:pt idx="34">
                  <c:v>MSFT-UltimatePerformance</c:v>
                </c:pt>
                <c:pt idx="35">
                  <c:v>XILLY'S</c:v>
                </c:pt>
                <c:pt idx="36">
                  <c:v>LowLatency</c:v>
                </c:pt>
                <c:pt idx="37">
                  <c:v>VTRL</c:v>
                </c:pt>
                <c:pt idx="38">
                  <c:v>Velo's</c:v>
                </c:pt>
              </c:strCache>
            </c:strRef>
          </c:cat>
          <c:val>
            <c:numRef>
              <c:f>'4. Statistical Analysis'!$K$10:$K$48</c:f>
              <c:numCache>
                <c:formatCode>0.00</c:formatCode>
                <c:ptCount val="39"/>
                <c:pt idx="0">
                  <c:v>168.88745821251615</c:v>
                </c:pt>
                <c:pt idx="1">
                  <c:v>169.79367295913087</c:v>
                </c:pt>
                <c:pt idx="2">
                  <c:v>166.80873837008753</c:v>
                </c:pt>
                <c:pt idx="3">
                  <c:v>150.28907895437391</c:v>
                </c:pt>
                <c:pt idx="4">
                  <c:v>170.36293571805695</c:v>
                </c:pt>
                <c:pt idx="5">
                  <c:v>166.44739016049914</c:v>
                </c:pt>
                <c:pt idx="6">
                  <c:v>163.64861713401265</c:v>
                </c:pt>
                <c:pt idx="7">
                  <c:v>142.64201415058682</c:v>
                </c:pt>
                <c:pt idx="8">
                  <c:v>169.26682641550116</c:v>
                </c:pt>
                <c:pt idx="9">
                  <c:v>162.83044123469503</c:v>
                </c:pt>
                <c:pt idx="10">
                  <c:v>167.1059474772988</c:v>
                </c:pt>
                <c:pt idx="11">
                  <c:v>161.96029261924895</c:v>
                </c:pt>
                <c:pt idx="12">
                  <c:v>152.98280438395312</c:v>
                </c:pt>
                <c:pt idx="13">
                  <c:v>128.36075637283463</c:v>
                </c:pt>
                <c:pt idx="14">
                  <c:v>158.6005809575658</c:v>
                </c:pt>
                <c:pt idx="15">
                  <c:v>156.00136751819622</c:v>
                </c:pt>
                <c:pt idx="16">
                  <c:v>155.95637683157733</c:v>
                </c:pt>
                <c:pt idx="17">
                  <c:v>158.6206271673455</c:v>
                </c:pt>
                <c:pt idx="18">
                  <c:v>160.4552596901311</c:v>
                </c:pt>
                <c:pt idx="19">
                  <c:v>155.38403002360181</c:v>
                </c:pt>
                <c:pt idx="20">
                  <c:v>152.88279201875633</c:v>
                </c:pt>
                <c:pt idx="21">
                  <c:v>158.45048128920718</c:v>
                </c:pt>
                <c:pt idx="22">
                  <c:v>161.42652228323323</c:v>
                </c:pt>
                <c:pt idx="23">
                  <c:v>161.94818967247278</c:v>
                </c:pt>
                <c:pt idx="24">
                  <c:v>158.92654356059145</c:v>
                </c:pt>
                <c:pt idx="25">
                  <c:v>156.12006686924693</c:v>
                </c:pt>
                <c:pt idx="26">
                  <c:v>154.26265290184452</c:v>
                </c:pt>
                <c:pt idx="27">
                  <c:v>159.45955122269038</c:v>
                </c:pt>
                <c:pt idx="28">
                  <c:v>159.18965163989495</c:v>
                </c:pt>
                <c:pt idx="29">
                  <c:v>157.58473191772464</c:v>
                </c:pt>
                <c:pt idx="30">
                  <c:v>157.68577045002695</c:v>
                </c:pt>
                <c:pt idx="31">
                  <c:v>157.27120289228108</c:v>
                </c:pt>
                <c:pt idx="32">
                  <c:v>152.93146360263444</c:v>
                </c:pt>
                <c:pt idx="33">
                  <c:v>153.8182779257817</c:v>
                </c:pt>
                <c:pt idx="34">
                  <c:v>150.40900691447999</c:v>
                </c:pt>
                <c:pt idx="35">
                  <c:v>151.87396435276304</c:v>
                </c:pt>
                <c:pt idx="36">
                  <c:v>110.34728957917278</c:v>
                </c:pt>
                <c:pt idx="37">
                  <c:v>151.31019480125008</c:v>
                </c:pt>
                <c:pt idx="38">
                  <c:v>150.64679082849005</c:v>
                </c:pt>
              </c:numCache>
            </c:numRef>
          </c:val>
          <c:extLst>
            <c:ext xmlns:c16="http://schemas.microsoft.com/office/drawing/2014/chart" uri="{C3380CC4-5D6E-409C-BE32-E72D297353CC}">
              <c16:uniqueId val="{00000001-AB62-4421-9EE3-C01C23EEF11C}"/>
            </c:ext>
          </c:extLst>
        </c:ser>
        <c:dLbls>
          <c:showLegendKey val="0"/>
          <c:showVal val="1"/>
          <c:showCatName val="0"/>
          <c:showSerName val="0"/>
          <c:showPercent val="0"/>
          <c:showBubbleSize val="0"/>
        </c:dLbls>
        <c:gapWidth val="150"/>
        <c:axId val="10"/>
        <c:axId val="100"/>
      </c:barChart>
      <c:catAx>
        <c:axId val="10"/>
        <c:scaling>
          <c:orientation val="minMax"/>
        </c:scaling>
        <c:delete val="0"/>
        <c:axPos val="l"/>
        <c:title>
          <c:tx>
            <c:rich>
              <a:bodyPr/>
              <a:lstStyle/>
              <a:p>
                <a:pPr>
                  <a:defRPr/>
                </a:pPr>
                <a:r>
                  <a:rPr lang="en-US"/>
                  <a:t>FPS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0" sourceLinked="1"/>
        <c:majorTickMark val="none"/>
        <c:minorTickMark val="none"/>
        <c:tickLblPos val="nextTo"/>
        <c:txPr>
          <a:bodyPr/>
          <a:lstStyle/>
          <a:p>
            <a:pPr>
              <a:defRPr sz="700"/>
            </a:pPr>
            <a:endParaRPr lang="en-US"/>
          </a:p>
        </c:txPr>
        <c:crossAx val="10"/>
        <c:crosses val="autoZero"/>
        <c:crossBetween val="between"/>
      </c:valAx>
    </c:plotArea>
    <c:legend>
      <c:legendPos val="t"/>
      <c:layout>
        <c:manualLayout>
          <c:xMode val="edge"/>
          <c:yMode val="edge"/>
          <c:x val="1.4392195767195762E-2"/>
          <c:y val="8.3006535947712425E-3"/>
          <c:w val="0.18502513227513229"/>
          <c:h val="3.1299509803921571E-2"/>
        </c:manualLayout>
      </c:layout>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Run-to-run variability, Avg FPS CV % - LOWER IS BETTER</a:t>
            </a:r>
          </a:p>
        </c:rich>
      </c:tx>
      <c:layout>
        <c:manualLayout>
          <c:xMode val="edge"/>
          <c:yMode val="edge"/>
          <c:x val="0.16892275132275134"/>
          <c:y val="0"/>
        </c:manualLayout>
      </c:layout>
      <c:overlay val="1"/>
    </c:title>
    <c:autoTitleDeleted val="0"/>
    <c:plotArea>
      <c:layout>
        <c:manualLayout>
          <c:layoutTarget val="inner"/>
          <c:xMode val="edge"/>
          <c:yMode val="edge"/>
          <c:x val="0.31669603174603173"/>
          <c:y val="1.7536342319061451E-2"/>
          <c:w val="0.65271732804232807"/>
          <c:h val="0.96836584967320261"/>
        </c:manualLayout>
      </c:layout>
      <c:barChart>
        <c:barDir val="bar"/>
        <c:grouping val="clustered"/>
        <c:varyColors val="0"/>
        <c:ser>
          <c:idx val="0"/>
          <c:order val="0"/>
          <c:tx>
            <c:strRef>
              <c:f>'4. Statistical Analysis'!$G$9</c:f>
              <c:strCache>
                <c:ptCount val="1"/>
                <c:pt idx="0">
                  <c:v>CV %</c:v>
                </c:pt>
              </c:strCache>
            </c:strRef>
          </c:tx>
          <c:spPr>
            <a:ln>
              <a:prstDash val="solid"/>
            </a:ln>
          </c:spPr>
          <c:invertIfNegative val="1"/>
          <c:dLbls>
            <c:spPr>
              <a:noFill/>
              <a:ln>
                <a:noFill/>
              </a:ln>
              <a:effectLst/>
            </c:spPr>
            <c:txPr>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 Graphs'!$AB$8:$AB$46</c:f>
              <c:strCache>
                <c:ptCount val="39"/>
                <c:pt idx="0">
                  <c:v>Arsenza-INTEL</c:v>
                </c:pt>
                <c:pt idx="1">
                  <c:v>EndGame</c:v>
                </c:pt>
                <c:pt idx="2">
                  <c:v>Prodazin</c:v>
                </c:pt>
                <c:pt idx="3">
                  <c:v>AMIT</c:v>
                </c:pt>
                <c:pt idx="4">
                  <c:v>LLG-CERTIFIED-FOR-PARKING+E-CORES-FIX</c:v>
                </c:pt>
                <c:pt idx="5">
                  <c:v>Synez</c:v>
                </c:pt>
                <c:pt idx="6">
                  <c:v>Revision</c:v>
                </c:pt>
                <c:pt idx="7">
                  <c:v>Reticle</c:v>
                </c:pt>
                <c:pt idx="8">
                  <c:v>LLG-CERTIFIED-FOR-NON-K-CPUs</c:v>
                </c:pt>
                <c:pt idx="9">
                  <c:v>CactusOS</c:v>
                </c:pt>
                <c:pt idx="10">
                  <c:v>Imribiy-2026</c:v>
                </c:pt>
                <c:pt idx="11">
                  <c:v>FPSHEAVEN2026</c:v>
                </c:pt>
                <c:pt idx="12">
                  <c:v>Mitstas</c:v>
                </c:pt>
                <c:pt idx="13">
                  <c:v>Bitsum-Highest-Performance</c:v>
                </c:pt>
                <c:pt idx="14">
                  <c:v>AutoOS</c:v>
                </c:pt>
                <c:pt idx="15">
                  <c:v>RIP</c:v>
                </c:pt>
                <c:pt idx="16">
                  <c:v>Slower</c:v>
                </c:pt>
                <c:pt idx="17">
                  <c:v>BEYOND-PERFORMANCE-AMD-INTEL-V1</c:v>
                </c:pt>
                <c:pt idx="18">
                  <c:v>Iris</c:v>
                </c:pt>
                <c:pt idx="19">
                  <c:v>Sapphire</c:v>
                </c:pt>
                <c:pt idx="20">
                  <c:v>Sazinho</c:v>
                </c:pt>
                <c:pt idx="21">
                  <c:v>JokrOS</c:v>
                </c:pt>
                <c:pt idx="22">
                  <c:v>Khorvie</c:v>
                </c:pt>
                <c:pt idx="23">
                  <c:v>GALA'S-Ultimate-Performance-AMD</c:v>
                </c:pt>
                <c:pt idx="24">
                  <c:v>Jackpot2026</c:v>
                </c:pt>
                <c:pt idx="25">
                  <c:v>Arsezna-ALL-CPU</c:v>
                </c:pt>
                <c:pt idx="26">
                  <c:v>RoscaV2</c:v>
                </c:pt>
                <c:pt idx="27">
                  <c:v>GPU-BOOSTER</c:v>
                </c:pt>
                <c:pt idx="28">
                  <c:v>IIIEXOIII</c:v>
                </c:pt>
                <c:pt idx="29">
                  <c:v>Hybred-Low-Latency</c:v>
                </c:pt>
                <c:pt idx="30">
                  <c:v>MSFT-High-Performance</c:v>
                </c:pt>
                <c:pt idx="31">
                  <c:v>GTweaks</c:v>
                </c:pt>
                <c:pt idx="32">
                  <c:v>Kizzimo</c:v>
                </c:pt>
                <c:pt idx="33">
                  <c:v>XNRL</c:v>
                </c:pt>
                <c:pt idx="34">
                  <c:v>MSFT-UltimatePerformance</c:v>
                </c:pt>
                <c:pt idx="35">
                  <c:v>XILLY'S</c:v>
                </c:pt>
                <c:pt idx="36">
                  <c:v>LowLatency</c:v>
                </c:pt>
                <c:pt idx="37">
                  <c:v>VTRL</c:v>
                </c:pt>
                <c:pt idx="38">
                  <c:v>Velo's</c:v>
                </c:pt>
              </c:strCache>
            </c:strRef>
          </c:cat>
          <c:val>
            <c:numRef>
              <c:f>'4. Statistical Analysis'!$G$10:$G$48</c:f>
              <c:numCache>
                <c:formatCode>0.00</c:formatCode>
                <c:ptCount val="39"/>
                <c:pt idx="0">
                  <c:v>0.35096541137591053</c:v>
                </c:pt>
                <c:pt idx="1">
                  <c:v>0.46713175150402297</c:v>
                </c:pt>
                <c:pt idx="2">
                  <c:v>0.18347341690469943</c:v>
                </c:pt>
                <c:pt idx="3">
                  <c:v>1.3344471361691337</c:v>
                </c:pt>
                <c:pt idx="4">
                  <c:v>0.34894253943396403</c:v>
                </c:pt>
                <c:pt idx="5">
                  <c:v>2.1543982729491136</c:v>
                </c:pt>
                <c:pt idx="6">
                  <c:v>0.36942334981804281</c:v>
                </c:pt>
                <c:pt idx="7">
                  <c:v>1.6650429782473275</c:v>
                </c:pt>
                <c:pt idx="8">
                  <c:v>2.0706942018009591</c:v>
                </c:pt>
                <c:pt idx="9">
                  <c:v>1.0947435972438035</c:v>
                </c:pt>
                <c:pt idx="10">
                  <c:v>1.8546764008481962</c:v>
                </c:pt>
                <c:pt idx="11">
                  <c:v>1.7457896195751852</c:v>
                </c:pt>
                <c:pt idx="12">
                  <c:v>1.9466745570420507</c:v>
                </c:pt>
                <c:pt idx="13">
                  <c:v>1.7426618635854614</c:v>
                </c:pt>
                <c:pt idx="14">
                  <c:v>0.31912352731626004</c:v>
                </c:pt>
                <c:pt idx="15">
                  <c:v>2.0076559102629532</c:v>
                </c:pt>
                <c:pt idx="16">
                  <c:v>0.41897174036548585</c:v>
                </c:pt>
                <c:pt idx="17">
                  <c:v>0.18744063521713086</c:v>
                </c:pt>
                <c:pt idx="18">
                  <c:v>1.2205876522957</c:v>
                </c:pt>
                <c:pt idx="19">
                  <c:v>0.41221229920984692</c:v>
                </c:pt>
                <c:pt idx="20">
                  <c:v>0.40566990523225255</c:v>
                </c:pt>
                <c:pt idx="21">
                  <c:v>0.29264199679044095</c:v>
                </c:pt>
                <c:pt idx="22">
                  <c:v>0.11578630333483728</c:v>
                </c:pt>
                <c:pt idx="23">
                  <c:v>8.6780544723191813E-2</c:v>
                </c:pt>
                <c:pt idx="24">
                  <c:v>0.19404494326551136</c:v>
                </c:pt>
                <c:pt idx="25">
                  <c:v>2.4691279009225013</c:v>
                </c:pt>
                <c:pt idx="26">
                  <c:v>0.50531130596529894</c:v>
                </c:pt>
                <c:pt idx="27">
                  <c:v>0.24219427938428598</c:v>
                </c:pt>
                <c:pt idx="28">
                  <c:v>0.34069744982092398</c:v>
                </c:pt>
                <c:pt idx="29">
                  <c:v>0.49944194608767517</c:v>
                </c:pt>
                <c:pt idx="30">
                  <c:v>0.14723601737019001</c:v>
                </c:pt>
                <c:pt idx="31">
                  <c:v>0.33311158882945019</c:v>
                </c:pt>
                <c:pt idx="32">
                  <c:v>0.1963803554877806</c:v>
                </c:pt>
                <c:pt idx="33">
                  <c:v>0.39386919529741227</c:v>
                </c:pt>
                <c:pt idx="34">
                  <c:v>1.1075272828254612</c:v>
                </c:pt>
                <c:pt idx="35">
                  <c:v>0.26407836244423238</c:v>
                </c:pt>
                <c:pt idx="36">
                  <c:v>1.5688978512572986</c:v>
                </c:pt>
                <c:pt idx="37">
                  <c:v>0.33172450621259414</c:v>
                </c:pt>
                <c:pt idx="38">
                  <c:v>0.73995088559689748</c:v>
                </c:pt>
              </c:numCache>
            </c:numRef>
          </c:val>
          <c:extLst>
            <c:ext xmlns:c16="http://schemas.microsoft.com/office/drawing/2014/chart" uri="{C3380CC4-5D6E-409C-BE32-E72D297353CC}">
              <c16:uniqueId val="{00000000-F4AC-4C4D-8DF4-DEE3031A390B}"/>
            </c:ext>
          </c:extLst>
        </c:ser>
        <c:dLbls>
          <c:showLegendKey val="0"/>
          <c:showVal val="1"/>
          <c:showCatName val="0"/>
          <c:showSerName val="0"/>
          <c:showPercent val="0"/>
          <c:showBubbleSize val="0"/>
        </c:dLbls>
        <c:gapWidth val="150"/>
        <c:axId val="10"/>
        <c:axId val="100"/>
      </c:barChart>
      <c:catAx>
        <c:axId val="10"/>
        <c:scaling>
          <c:orientation val="minMax"/>
        </c:scaling>
        <c:delete val="0"/>
        <c:axPos val="l"/>
        <c:title>
          <c:tx>
            <c:rich>
              <a:bodyPr/>
              <a:lstStyle/>
              <a:p>
                <a:pPr>
                  <a:defRPr/>
                </a:pPr>
                <a:r>
                  <a:rPr lang="en-US"/>
                  <a:t>CV %</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0" sourceLinked="1"/>
        <c:majorTickMark val="none"/>
        <c:minorTickMark val="none"/>
        <c:tickLblPos val="nextTo"/>
        <c:txPr>
          <a:bodyPr/>
          <a:lstStyle/>
          <a:p>
            <a:pPr>
              <a:defRPr sz="700"/>
            </a:pPr>
            <a:endParaRPr lang="en-US"/>
          </a:p>
        </c:tx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Within-run FPS stability per-second, Run 1 - HIGHER &amp; FLATTER IS BETTER</a:t>
            </a:r>
          </a:p>
        </c:rich>
      </c:tx>
      <c:layout>
        <c:manualLayout>
          <c:xMode val="edge"/>
          <c:yMode val="edge"/>
          <c:x val="0.12924273504273504"/>
          <c:y val="4.7037037037037037E-2"/>
        </c:manualLayout>
      </c:layout>
      <c:overlay val="1"/>
    </c:title>
    <c:autoTitleDeleted val="0"/>
    <c:plotArea>
      <c:layout>
        <c:manualLayout>
          <c:layoutTarget val="inner"/>
          <c:xMode val="edge"/>
          <c:yMode val="edge"/>
          <c:x val="1.4925213675213675E-2"/>
          <c:y val="3.8217592592592595E-2"/>
          <c:w val="0.97014957264957269"/>
          <c:h val="0.93532407407407403"/>
        </c:manualLayout>
      </c:layout>
      <c:lineChart>
        <c:grouping val="standard"/>
        <c:varyColors val="1"/>
        <c:ser>
          <c:idx val="0"/>
          <c:order val="0"/>
          <c:tx>
            <c:strRef>
              <c:f>'5. Graphs'!$AF$8</c:f>
              <c:strCache>
                <c:ptCount val="1"/>
                <c:pt idx="0">
                  <c:v>Arsenza-INTEL</c:v>
                </c:pt>
              </c:strCache>
            </c:strRef>
          </c:tx>
          <c:spPr>
            <a:ln>
              <a:prstDash val="solid"/>
            </a:ln>
          </c:spPr>
          <c:marker>
            <c:symbol val="none"/>
          </c:marker>
          <c:cat>
            <c:numRef>
              <c:f>'5. Graphs'!$AE$9:$AE$68</c:f>
              <c:numCache>
                <c:formatCode>General</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numCache>
            </c:numRef>
          </c:cat>
          <c:val>
            <c:numRef>
              <c:f>'5. Graphs'!$AF$9:$AF$68</c:f>
              <c:numCache>
                <c:formatCode>General</c:formatCode>
                <c:ptCount val="60"/>
                <c:pt idx="0">
                  <c:v>247</c:v>
                </c:pt>
                <c:pt idx="1">
                  <c:v>242</c:v>
                </c:pt>
                <c:pt idx="2">
                  <c:v>245</c:v>
                </c:pt>
                <c:pt idx="3">
                  <c:v>243</c:v>
                </c:pt>
                <c:pt idx="4">
                  <c:v>244</c:v>
                </c:pt>
                <c:pt idx="5">
                  <c:v>241</c:v>
                </c:pt>
                <c:pt idx="6">
                  <c:v>235</c:v>
                </c:pt>
                <c:pt idx="7">
                  <c:v>245</c:v>
                </c:pt>
                <c:pt idx="8">
                  <c:v>244</c:v>
                </c:pt>
                <c:pt idx="9">
                  <c:v>243</c:v>
                </c:pt>
                <c:pt idx="10">
                  <c:v>242</c:v>
                </c:pt>
                <c:pt idx="11">
                  <c:v>243</c:v>
                </c:pt>
                <c:pt idx="12">
                  <c:v>242</c:v>
                </c:pt>
                <c:pt idx="13">
                  <c:v>241</c:v>
                </c:pt>
                <c:pt idx="14">
                  <c:v>244</c:v>
                </c:pt>
                <c:pt idx="15">
                  <c:v>245</c:v>
                </c:pt>
                <c:pt idx="16">
                  <c:v>245</c:v>
                </c:pt>
                <c:pt idx="17">
                  <c:v>247</c:v>
                </c:pt>
                <c:pt idx="18">
                  <c:v>245</c:v>
                </c:pt>
                <c:pt idx="19">
                  <c:v>241</c:v>
                </c:pt>
                <c:pt idx="20">
                  <c:v>238</c:v>
                </c:pt>
                <c:pt idx="21">
                  <c:v>244</c:v>
                </c:pt>
                <c:pt idx="22">
                  <c:v>246</c:v>
                </c:pt>
                <c:pt idx="23">
                  <c:v>244</c:v>
                </c:pt>
                <c:pt idx="24">
                  <c:v>245</c:v>
                </c:pt>
                <c:pt idx="25">
                  <c:v>246</c:v>
                </c:pt>
                <c:pt idx="26">
                  <c:v>244</c:v>
                </c:pt>
                <c:pt idx="27">
                  <c:v>246</c:v>
                </c:pt>
                <c:pt idx="28">
                  <c:v>244</c:v>
                </c:pt>
                <c:pt idx="29">
                  <c:v>241</c:v>
                </c:pt>
                <c:pt idx="30">
                  <c:v>244</c:v>
                </c:pt>
                <c:pt idx="31">
                  <c:v>244</c:v>
                </c:pt>
                <c:pt idx="32">
                  <c:v>245</c:v>
                </c:pt>
                <c:pt idx="33">
                  <c:v>245</c:v>
                </c:pt>
                <c:pt idx="34">
                  <c:v>248</c:v>
                </c:pt>
                <c:pt idx="35">
                  <c:v>242</c:v>
                </c:pt>
                <c:pt idx="36">
                  <c:v>243</c:v>
                </c:pt>
                <c:pt idx="37">
                  <c:v>245</c:v>
                </c:pt>
                <c:pt idx="38">
                  <c:v>244</c:v>
                </c:pt>
                <c:pt idx="39">
                  <c:v>240</c:v>
                </c:pt>
                <c:pt idx="40">
                  <c:v>244</c:v>
                </c:pt>
                <c:pt idx="41">
                  <c:v>244</c:v>
                </c:pt>
                <c:pt idx="42">
                  <c:v>245</c:v>
                </c:pt>
                <c:pt idx="43">
                  <c:v>248</c:v>
                </c:pt>
                <c:pt idx="44">
                  <c:v>243</c:v>
                </c:pt>
                <c:pt idx="45">
                  <c:v>243</c:v>
                </c:pt>
                <c:pt idx="46">
                  <c:v>239</c:v>
                </c:pt>
                <c:pt idx="47">
                  <c:v>243</c:v>
                </c:pt>
                <c:pt idx="48">
                  <c:v>245</c:v>
                </c:pt>
                <c:pt idx="49">
                  <c:v>239</c:v>
                </c:pt>
                <c:pt idx="50">
                  <c:v>234</c:v>
                </c:pt>
                <c:pt idx="51">
                  <c:v>234</c:v>
                </c:pt>
                <c:pt idx="52">
                  <c:v>232</c:v>
                </c:pt>
                <c:pt idx="53">
                  <c:v>233</c:v>
                </c:pt>
                <c:pt idx="54">
                  <c:v>232</c:v>
                </c:pt>
                <c:pt idx="55">
                  <c:v>231</c:v>
                </c:pt>
                <c:pt idx="56">
                  <c:v>230</c:v>
                </c:pt>
                <c:pt idx="57">
                  <c:v>232</c:v>
                </c:pt>
                <c:pt idx="58">
                  <c:v>235</c:v>
                </c:pt>
                <c:pt idx="59">
                  <c:v>232</c:v>
                </c:pt>
              </c:numCache>
            </c:numRef>
          </c:val>
          <c:smooth val="1"/>
          <c:extLst>
            <c:ext xmlns:c16="http://schemas.microsoft.com/office/drawing/2014/chart" uri="{C3380CC4-5D6E-409C-BE32-E72D297353CC}">
              <c16:uniqueId val="{00000000-16E7-4BF3-A808-352C75EA396E}"/>
            </c:ext>
          </c:extLst>
        </c:ser>
        <c:ser>
          <c:idx val="1"/>
          <c:order val="1"/>
          <c:tx>
            <c:strRef>
              <c:f>'5. Graphs'!$AG$8</c:f>
              <c:strCache>
                <c:ptCount val="1"/>
                <c:pt idx="0">
                  <c:v>EndGame</c:v>
                </c:pt>
              </c:strCache>
            </c:strRef>
          </c:tx>
          <c:spPr>
            <a:ln>
              <a:prstDash val="solid"/>
            </a:ln>
          </c:spPr>
          <c:marker>
            <c:symbol val="none"/>
          </c:marker>
          <c:cat>
            <c:numRef>
              <c:f>'5. Graphs'!$AE$9:$AE$68</c:f>
              <c:numCache>
                <c:formatCode>General</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numCache>
            </c:numRef>
          </c:cat>
          <c:val>
            <c:numRef>
              <c:f>'5. Graphs'!$AG$9:$AG$68</c:f>
              <c:numCache>
                <c:formatCode>General</c:formatCode>
                <c:ptCount val="60"/>
                <c:pt idx="0">
                  <c:v>233</c:v>
                </c:pt>
                <c:pt idx="1">
                  <c:v>233</c:v>
                </c:pt>
                <c:pt idx="2">
                  <c:v>242</c:v>
                </c:pt>
                <c:pt idx="3">
                  <c:v>242</c:v>
                </c:pt>
                <c:pt idx="4">
                  <c:v>240</c:v>
                </c:pt>
                <c:pt idx="5">
                  <c:v>241</c:v>
                </c:pt>
                <c:pt idx="6">
                  <c:v>242</c:v>
                </c:pt>
                <c:pt idx="7">
                  <c:v>236</c:v>
                </c:pt>
                <c:pt idx="8">
                  <c:v>239</c:v>
                </c:pt>
                <c:pt idx="9">
                  <c:v>241</c:v>
                </c:pt>
                <c:pt idx="10">
                  <c:v>239</c:v>
                </c:pt>
                <c:pt idx="11">
                  <c:v>239</c:v>
                </c:pt>
                <c:pt idx="12">
                  <c:v>239</c:v>
                </c:pt>
                <c:pt idx="13">
                  <c:v>236</c:v>
                </c:pt>
                <c:pt idx="14">
                  <c:v>240</c:v>
                </c:pt>
                <c:pt idx="15">
                  <c:v>242</c:v>
                </c:pt>
                <c:pt idx="16">
                  <c:v>241</c:v>
                </c:pt>
                <c:pt idx="17">
                  <c:v>237</c:v>
                </c:pt>
                <c:pt idx="18">
                  <c:v>240</c:v>
                </c:pt>
                <c:pt idx="19">
                  <c:v>240</c:v>
                </c:pt>
                <c:pt idx="20">
                  <c:v>241</c:v>
                </c:pt>
                <c:pt idx="21">
                  <c:v>239</c:v>
                </c:pt>
                <c:pt idx="22">
                  <c:v>241</c:v>
                </c:pt>
                <c:pt idx="23">
                  <c:v>242</c:v>
                </c:pt>
                <c:pt idx="24">
                  <c:v>242</c:v>
                </c:pt>
                <c:pt idx="25">
                  <c:v>241</c:v>
                </c:pt>
                <c:pt idx="26">
                  <c:v>243</c:v>
                </c:pt>
                <c:pt idx="27">
                  <c:v>235</c:v>
                </c:pt>
                <c:pt idx="28">
                  <c:v>241</c:v>
                </c:pt>
                <c:pt idx="29">
                  <c:v>238</c:v>
                </c:pt>
                <c:pt idx="30">
                  <c:v>241</c:v>
                </c:pt>
                <c:pt idx="31">
                  <c:v>241</c:v>
                </c:pt>
                <c:pt idx="32">
                  <c:v>241</c:v>
                </c:pt>
                <c:pt idx="33">
                  <c:v>240</c:v>
                </c:pt>
                <c:pt idx="34">
                  <c:v>238</c:v>
                </c:pt>
                <c:pt idx="35">
                  <c:v>241</c:v>
                </c:pt>
                <c:pt idx="36">
                  <c:v>241</c:v>
                </c:pt>
                <c:pt idx="37">
                  <c:v>234</c:v>
                </c:pt>
                <c:pt idx="38">
                  <c:v>242</c:v>
                </c:pt>
                <c:pt idx="39">
                  <c:v>240</c:v>
                </c:pt>
                <c:pt idx="40">
                  <c:v>239</c:v>
                </c:pt>
                <c:pt idx="41">
                  <c:v>239</c:v>
                </c:pt>
                <c:pt idx="42">
                  <c:v>239</c:v>
                </c:pt>
                <c:pt idx="43">
                  <c:v>231</c:v>
                </c:pt>
                <c:pt idx="44">
                  <c:v>241</c:v>
                </c:pt>
                <c:pt idx="45">
                  <c:v>241</c:v>
                </c:pt>
                <c:pt idx="46">
                  <c:v>242</c:v>
                </c:pt>
                <c:pt idx="47">
                  <c:v>239</c:v>
                </c:pt>
                <c:pt idx="48">
                  <c:v>242</c:v>
                </c:pt>
                <c:pt idx="49">
                  <c:v>243</c:v>
                </c:pt>
                <c:pt idx="50">
                  <c:v>244</c:v>
                </c:pt>
                <c:pt idx="51">
                  <c:v>240</c:v>
                </c:pt>
                <c:pt idx="52">
                  <c:v>240</c:v>
                </c:pt>
                <c:pt idx="53">
                  <c:v>240</c:v>
                </c:pt>
                <c:pt idx="54">
                  <c:v>241</c:v>
                </c:pt>
                <c:pt idx="55">
                  <c:v>239</c:v>
                </c:pt>
                <c:pt idx="56">
                  <c:v>242</c:v>
                </c:pt>
                <c:pt idx="57">
                  <c:v>235</c:v>
                </c:pt>
                <c:pt idx="58">
                  <c:v>244</c:v>
                </c:pt>
                <c:pt idx="59">
                  <c:v>232</c:v>
                </c:pt>
              </c:numCache>
            </c:numRef>
          </c:val>
          <c:smooth val="1"/>
          <c:extLst>
            <c:ext xmlns:c16="http://schemas.microsoft.com/office/drawing/2014/chart" uri="{C3380CC4-5D6E-409C-BE32-E72D297353CC}">
              <c16:uniqueId val="{00000001-16E7-4BF3-A808-352C75EA396E}"/>
            </c:ext>
          </c:extLst>
        </c:ser>
        <c:ser>
          <c:idx val="2"/>
          <c:order val="2"/>
          <c:tx>
            <c:strRef>
              <c:f>'5. Graphs'!$AH$8</c:f>
              <c:strCache>
                <c:ptCount val="1"/>
                <c:pt idx="0">
                  <c:v>Prodazin</c:v>
                </c:pt>
              </c:strCache>
            </c:strRef>
          </c:tx>
          <c:spPr>
            <a:ln>
              <a:prstDash val="solid"/>
            </a:ln>
          </c:spPr>
          <c:marker>
            <c:symbol val="none"/>
          </c:marker>
          <c:cat>
            <c:numRef>
              <c:f>'5. Graphs'!$AE$9:$AE$68</c:f>
              <c:numCache>
                <c:formatCode>General</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numCache>
            </c:numRef>
          </c:cat>
          <c:val>
            <c:numRef>
              <c:f>'5. Graphs'!$AH$9:$AH$68</c:f>
              <c:numCache>
                <c:formatCode>General</c:formatCode>
                <c:ptCount val="60"/>
                <c:pt idx="0">
                  <c:v>242</c:v>
                </c:pt>
                <c:pt idx="1">
                  <c:v>244</c:v>
                </c:pt>
                <c:pt idx="2">
                  <c:v>241</c:v>
                </c:pt>
                <c:pt idx="3">
                  <c:v>242</c:v>
                </c:pt>
                <c:pt idx="4">
                  <c:v>234</c:v>
                </c:pt>
                <c:pt idx="5">
                  <c:v>237</c:v>
                </c:pt>
                <c:pt idx="6">
                  <c:v>242</c:v>
                </c:pt>
                <c:pt idx="7">
                  <c:v>239</c:v>
                </c:pt>
                <c:pt idx="8">
                  <c:v>240</c:v>
                </c:pt>
                <c:pt idx="9">
                  <c:v>243</c:v>
                </c:pt>
                <c:pt idx="10">
                  <c:v>238</c:v>
                </c:pt>
                <c:pt idx="11">
                  <c:v>239</c:v>
                </c:pt>
                <c:pt idx="12">
                  <c:v>237</c:v>
                </c:pt>
                <c:pt idx="13">
                  <c:v>230</c:v>
                </c:pt>
                <c:pt idx="14">
                  <c:v>234</c:v>
                </c:pt>
                <c:pt idx="15">
                  <c:v>239</c:v>
                </c:pt>
                <c:pt idx="16">
                  <c:v>241</c:v>
                </c:pt>
                <c:pt idx="17">
                  <c:v>243</c:v>
                </c:pt>
                <c:pt idx="18">
                  <c:v>240</c:v>
                </c:pt>
                <c:pt idx="19">
                  <c:v>239</c:v>
                </c:pt>
                <c:pt idx="20">
                  <c:v>238</c:v>
                </c:pt>
                <c:pt idx="21">
                  <c:v>239</c:v>
                </c:pt>
                <c:pt idx="22">
                  <c:v>242</c:v>
                </c:pt>
                <c:pt idx="23">
                  <c:v>238</c:v>
                </c:pt>
                <c:pt idx="24">
                  <c:v>231</c:v>
                </c:pt>
                <c:pt idx="25">
                  <c:v>242</c:v>
                </c:pt>
                <c:pt idx="26">
                  <c:v>241</c:v>
                </c:pt>
                <c:pt idx="27">
                  <c:v>241</c:v>
                </c:pt>
                <c:pt idx="28">
                  <c:v>238</c:v>
                </c:pt>
                <c:pt idx="29">
                  <c:v>239</c:v>
                </c:pt>
                <c:pt idx="30">
                  <c:v>240</c:v>
                </c:pt>
                <c:pt idx="31">
                  <c:v>242</c:v>
                </c:pt>
                <c:pt idx="32">
                  <c:v>243</c:v>
                </c:pt>
                <c:pt idx="33">
                  <c:v>240</c:v>
                </c:pt>
                <c:pt idx="34">
                  <c:v>237</c:v>
                </c:pt>
                <c:pt idx="35">
                  <c:v>241</c:v>
                </c:pt>
                <c:pt idx="36">
                  <c:v>241</c:v>
                </c:pt>
                <c:pt idx="37">
                  <c:v>240</c:v>
                </c:pt>
                <c:pt idx="38">
                  <c:v>240</c:v>
                </c:pt>
                <c:pt idx="39">
                  <c:v>240</c:v>
                </c:pt>
                <c:pt idx="40">
                  <c:v>241</c:v>
                </c:pt>
                <c:pt idx="41">
                  <c:v>240</c:v>
                </c:pt>
                <c:pt idx="42">
                  <c:v>242</c:v>
                </c:pt>
                <c:pt idx="43">
                  <c:v>239</c:v>
                </c:pt>
                <c:pt idx="44">
                  <c:v>237</c:v>
                </c:pt>
                <c:pt idx="45">
                  <c:v>240</c:v>
                </c:pt>
                <c:pt idx="46">
                  <c:v>241</c:v>
                </c:pt>
                <c:pt idx="47">
                  <c:v>238</c:v>
                </c:pt>
                <c:pt idx="48">
                  <c:v>240</c:v>
                </c:pt>
                <c:pt idx="49">
                  <c:v>240</c:v>
                </c:pt>
                <c:pt idx="50">
                  <c:v>240</c:v>
                </c:pt>
                <c:pt idx="51">
                  <c:v>240</c:v>
                </c:pt>
                <c:pt idx="52">
                  <c:v>237</c:v>
                </c:pt>
                <c:pt idx="53">
                  <c:v>234</c:v>
                </c:pt>
                <c:pt idx="54">
                  <c:v>235</c:v>
                </c:pt>
                <c:pt idx="55">
                  <c:v>239</c:v>
                </c:pt>
                <c:pt idx="56">
                  <c:v>239</c:v>
                </c:pt>
                <c:pt idx="57">
                  <c:v>241</c:v>
                </c:pt>
                <c:pt idx="58">
                  <c:v>237</c:v>
                </c:pt>
                <c:pt idx="59">
                  <c:v>228</c:v>
                </c:pt>
              </c:numCache>
            </c:numRef>
          </c:val>
          <c:smooth val="1"/>
          <c:extLst>
            <c:ext xmlns:c16="http://schemas.microsoft.com/office/drawing/2014/chart" uri="{C3380CC4-5D6E-409C-BE32-E72D297353CC}">
              <c16:uniqueId val="{00000002-16E7-4BF3-A808-352C75EA396E}"/>
            </c:ext>
          </c:extLst>
        </c:ser>
        <c:ser>
          <c:idx val="3"/>
          <c:order val="3"/>
          <c:tx>
            <c:strRef>
              <c:f>'5. Graphs'!$AI$8</c:f>
              <c:strCache>
                <c:ptCount val="1"/>
                <c:pt idx="0">
                  <c:v>MSFT-High-Performance</c:v>
                </c:pt>
              </c:strCache>
            </c:strRef>
          </c:tx>
          <c:spPr>
            <a:ln>
              <a:prstDash val="solid"/>
            </a:ln>
          </c:spPr>
          <c:marker>
            <c:symbol val="none"/>
          </c:marker>
          <c:cat>
            <c:numRef>
              <c:f>'5. Graphs'!$AE$9:$AE$68</c:f>
              <c:numCache>
                <c:formatCode>General</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numCache>
            </c:numRef>
          </c:cat>
          <c:val>
            <c:numRef>
              <c:f>'5. Graphs'!$AI$9:$AI$68</c:f>
              <c:numCache>
                <c:formatCode>General</c:formatCode>
                <c:ptCount val="60"/>
                <c:pt idx="0">
                  <c:v>224</c:v>
                </c:pt>
                <c:pt idx="1">
                  <c:v>224</c:v>
                </c:pt>
                <c:pt idx="2">
                  <c:v>228</c:v>
                </c:pt>
                <c:pt idx="3">
                  <c:v>227</c:v>
                </c:pt>
                <c:pt idx="4">
                  <c:v>226</c:v>
                </c:pt>
                <c:pt idx="5">
                  <c:v>230</c:v>
                </c:pt>
                <c:pt idx="6">
                  <c:v>226</c:v>
                </c:pt>
                <c:pt idx="7">
                  <c:v>229</c:v>
                </c:pt>
                <c:pt idx="8">
                  <c:v>228</c:v>
                </c:pt>
                <c:pt idx="9">
                  <c:v>228</c:v>
                </c:pt>
                <c:pt idx="10">
                  <c:v>226</c:v>
                </c:pt>
                <c:pt idx="11">
                  <c:v>226</c:v>
                </c:pt>
                <c:pt idx="12">
                  <c:v>228</c:v>
                </c:pt>
                <c:pt idx="13">
                  <c:v>229</c:v>
                </c:pt>
                <c:pt idx="14">
                  <c:v>229</c:v>
                </c:pt>
                <c:pt idx="15">
                  <c:v>227</c:v>
                </c:pt>
                <c:pt idx="16">
                  <c:v>229</c:v>
                </c:pt>
                <c:pt idx="17">
                  <c:v>227</c:v>
                </c:pt>
                <c:pt idx="18">
                  <c:v>229</c:v>
                </c:pt>
                <c:pt idx="19">
                  <c:v>229</c:v>
                </c:pt>
                <c:pt idx="20">
                  <c:v>225</c:v>
                </c:pt>
                <c:pt idx="21">
                  <c:v>228</c:v>
                </c:pt>
                <c:pt idx="22">
                  <c:v>228</c:v>
                </c:pt>
                <c:pt idx="23">
                  <c:v>227</c:v>
                </c:pt>
                <c:pt idx="24">
                  <c:v>226</c:v>
                </c:pt>
                <c:pt idx="25">
                  <c:v>229</c:v>
                </c:pt>
                <c:pt idx="26">
                  <c:v>227</c:v>
                </c:pt>
                <c:pt idx="27">
                  <c:v>229</c:v>
                </c:pt>
                <c:pt idx="28">
                  <c:v>230</c:v>
                </c:pt>
                <c:pt idx="29">
                  <c:v>225</c:v>
                </c:pt>
                <c:pt idx="30">
                  <c:v>224</c:v>
                </c:pt>
                <c:pt idx="31">
                  <c:v>224</c:v>
                </c:pt>
                <c:pt idx="32">
                  <c:v>225</c:v>
                </c:pt>
                <c:pt idx="33">
                  <c:v>228</c:v>
                </c:pt>
                <c:pt idx="34">
                  <c:v>221</c:v>
                </c:pt>
                <c:pt idx="35">
                  <c:v>230</c:v>
                </c:pt>
                <c:pt idx="36">
                  <c:v>225</c:v>
                </c:pt>
                <c:pt idx="37">
                  <c:v>228</c:v>
                </c:pt>
                <c:pt idx="38">
                  <c:v>228</c:v>
                </c:pt>
                <c:pt idx="39">
                  <c:v>227</c:v>
                </c:pt>
                <c:pt idx="40">
                  <c:v>222</c:v>
                </c:pt>
                <c:pt idx="41">
                  <c:v>225</c:v>
                </c:pt>
                <c:pt idx="42">
                  <c:v>228</c:v>
                </c:pt>
                <c:pt idx="43">
                  <c:v>229</c:v>
                </c:pt>
                <c:pt idx="44">
                  <c:v>228</c:v>
                </c:pt>
                <c:pt idx="45">
                  <c:v>229</c:v>
                </c:pt>
                <c:pt idx="46">
                  <c:v>229</c:v>
                </c:pt>
                <c:pt idx="47">
                  <c:v>227</c:v>
                </c:pt>
                <c:pt idx="48">
                  <c:v>226</c:v>
                </c:pt>
                <c:pt idx="49">
                  <c:v>225</c:v>
                </c:pt>
                <c:pt idx="50">
                  <c:v>225</c:v>
                </c:pt>
                <c:pt idx="51">
                  <c:v>226</c:v>
                </c:pt>
                <c:pt idx="52">
                  <c:v>228</c:v>
                </c:pt>
                <c:pt idx="53">
                  <c:v>228</c:v>
                </c:pt>
                <c:pt idx="54">
                  <c:v>229</c:v>
                </c:pt>
                <c:pt idx="55">
                  <c:v>228</c:v>
                </c:pt>
                <c:pt idx="56">
                  <c:v>224</c:v>
                </c:pt>
                <c:pt idx="57">
                  <c:v>226</c:v>
                </c:pt>
                <c:pt idx="58">
                  <c:v>225</c:v>
                </c:pt>
                <c:pt idx="59">
                  <c:v>224</c:v>
                </c:pt>
              </c:numCache>
            </c:numRef>
          </c:val>
          <c:smooth val="1"/>
          <c:extLst>
            <c:ext xmlns:c16="http://schemas.microsoft.com/office/drawing/2014/chart" uri="{C3380CC4-5D6E-409C-BE32-E72D297353CC}">
              <c16:uniqueId val="{00000003-16E7-4BF3-A808-352C75EA396E}"/>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US"/>
                  <a:t>Second into run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min val="150"/>
        </c:scaling>
        <c:delete val="1"/>
        <c:axPos val="l"/>
        <c:majorGridlines/>
        <c:title>
          <c:tx>
            <c:rich>
              <a:bodyPr/>
              <a:lstStyle/>
              <a:p>
                <a:pPr>
                  <a:defRPr/>
                </a:pPr>
                <a:r>
                  <a:rPr lang="en-US"/>
                  <a:t>FPS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0</xdr:colOff>
      <xdr:row>7</xdr:row>
      <xdr:rowOff>0</xdr:rowOff>
    </xdr:from>
    <xdr:ext cx="7560000" cy="1224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82</xdr:row>
      <xdr:rowOff>0</xdr:rowOff>
    </xdr:from>
    <xdr:ext cx="7560000" cy="12240000"/>
    <xdr:graphicFrame macro="">
      <xdr:nvGraphicFramePr>
        <xdr:cNvPr id="8" name="Chart 7">
          <a:extLst>
            <a:ext uri="{FF2B5EF4-FFF2-40B4-BE49-F238E27FC236}">
              <a16:creationId xmlns:a16="http://schemas.microsoft.com/office/drawing/2014/main" id="{E75A263A-30BF-4625-8B38-F74B38187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153</xdr:row>
      <xdr:rowOff>0</xdr:rowOff>
    </xdr:from>
    <xdr:ext cx="7560000" cy="13582650"/>
    <xdr:graphicFrame macro="">
      <xdr:nvGraphicFramePr>
        <xdr:cNvPr id="9" name="Chart 8">
          <a:extLst>
            <a:ext uri="{FF2B5EF4-FFF2-40B4-BE49-F238E27FC236}">
              <a16:creationId xmlns:a16="http://schemas.microsoft.com/office/drawing/2014/main" id="{DE5BD439-5319-49FB-B676-969AE7515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0</xdr:colOff>
      <xdr:row>228</xdr:row>
      <xdr:rowOff>0</xdr:rowOff>
    </xdr:from>
    <xdr:ext cx="9360000" cy="4320000"/>
    <xdr:graphicFrame macro="">
      <xdr:nvGraphicFramePr>
        <xdr:cNvPr id="10" name="Chart 9">
          <a:extLst>
            <a:ext uri="{FF2B5EF4-FFF2-40B4-BE49-F238E27FC236}">
              <a16:creationId xmlns:a16="http://schemas.microsoft.com/office/drawing/2014/main" id="{C57F99E1-6C82-4DB0-8C10-051DAE288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8"/>
  <sheetViews>
    <sheetView showGridLines="0" tabSelected="1" workbookViewId="0">
      <selection activeCell="H13" sqref="H13"/>
    </sheetView>
  </sheetViews>
  <sheetFormatPr defaultRowHeight="15" x14ac:dyDescent="0.25"/>
  <cols>
    <col min="1" max="1" width="3" customWidth="1"/>
    <col min="2" max="2" width="34" customWidth="1"/>
    <col min="3" max="3" width="62" customWidth="1"/>
    <col min="4" max="4" width="3" customWidth="1"/>
    <col min="5" max="5" width="40" customWidth="1"/>
  </cols>
  <sheetData>
    <row r="2" spans="2:5" ht="24" customHeight="1" x14ac:dyDescent="0.25">
      <c r="B2" s="73" t="s">
        <v>521</v>
      </c>
      <c r="C2" s="72"/>
    </row>
    <row r="3" spans="2:5" x14ac:dyDescent="0.25">
      <c r="B3" s="74" t="s">
        <v>522</v>
      </c>
      <c r="C3" s="72"/>
    </row>
    <row r="5" spans="2:5" ht="20.100000000000001" customHeight="1" x14ac:dyDescent="0.25">
      <c r="B5" s="71" t="s">
        <v>0</v>
      </c>
      <c r="C5" s="72"/>
      <c r="E5" s="1" t="s">
        <v>1</v>
      </c>
    </row>
    <row r="6" spans="2:5" x14ac:dyDescent="0.25">
      <c r="B6" s="2" t="s">
        <v>2</v>
      </c>
      <c r="C6" s="3" t="s">
        <v>3</v>
      </c>
      <c r="E6" s="4" t="s">
        <v>4</v>
      </c>
    </row>
    <row r="7" spans="2:5" ht="45.95" customHeight="1" x14ac:dyDescent="0.25">
      <c r="B7" s="2" t="s">
        <v>5</v>
      </c>
      <c r="C7" s="3" t="s">
        <v>6</v>
      </c>
      <c r="E7" s="5" t="s">
        <v>7</v>
      </c>
    </row>
    <row r="8" spans="2:5" x14ac:dyDescent="0.25">
      <c r="B8" s="2" t="s">
        <v>8</v>
      </c>
      <c r="C8" s="3" t="s">
        <v>9</v>
      </c>
    </row>
    <row r="9" spans="2:5" x14ac:dyDescent="0.25">
      <c r="B9" s="2" t="s">
        <v>10</v>
      </c>
      <c r="C9" s="3" t="s">
        <v>11</v>
      </c>
      <c r="E9" s="4" t="s">
        <v>12</v>
      </c>
    </row>
    <row r="10" spans="2:5" ht="45.95" customHeight="1" x14ac:dyDescent="0.25">
      <c r="E10" s="5" t="s">
        <v>13</v>
      </c>
    </row>
    <row r="11" spans="2:5" ht="20.100000000000001" customHeight="1" x14ac:dyDescent="0.25">
      <c r="B11" s="71" t="s">
        <v>14</v>
      </c>
      <c r="C11" s="72"/>
    </row>
    <row r="12" spans="2:5" x14ac:dyDescent="0.25">
      <c r="B12" s="2" t="s">
        <v>15</v>
      </c>
      <c r="C12" s="3" t="s">
        <v>16</v>
      </c>
      <c r="E12" s="4" t="s">
        <v>17</v>
      </c>
    </row>
    <row r="13" spans="2:5" ht="45.95" customHeight="1" x14ac:dyDescent="0.25">
      <c r="B13" s="2" t="s">
        <v>18</v>
      </c>
      <c r="C13" s="3" t="s">
        <v>19</v>
      </c>
      <c r="E13" s="5" t="s">
        <v>20</v>
      </c>
    </row>
    <row r="14" spans="2:5" ht="25.5" x14ac:dyDescent="0.25">
      <c r="B14" s="2" t="s">
        <v>21</v>
      </c>
      <c r="C14" s="3" t="s">
        <v>22</v>
      </c>
    </row>
    <row r="15" spans="2:5" ht="38.25" x14ac:dyDescent="0.25">
      <c r="B15" s="2" t="s">
        <v>23</v>
      </c>
      <c r="C15" s="6" t="s">
        <v>24</v>
      </c>
      <c r="E15" s="4" t="s">
        <v>25</v>
      </c>
    </row>
    <row r="16" spans="2:5" ht="45.95" customHeight="1" x14ac:dyDescent="0.25">
      <c r="E16" s="5" t="s">
        <v>26</v>
      </c>
    </row>
    <row r="17" spans="2:5" ht="20.100000000000001" customHeight="1" x14ac:dyDescent="0.25">
      <c r="B17" s="71" t="s">
        <v>27</v>
      </c>
      <c r="C17" s="72"/>
    </row>
    <row r="18" spans="2:5" x14ac:dyDescent="0.25">
      <c r="B18" s="2" t="s">
        <v>28</v>
      </c>
      <c r="C18" s="3" t="s">
        <v>29</v>
      </c>
      <c r="E18" s="4" t="s">
        <v>30</v>
      </c>
    </row>
    <row r="19" spans="2:5" ht="45.95" customHeight="1" x14ac:dyDescent="0.25">
      <c r="B19" s="2" t="s">
        <v>31</v>
      </c>
      <c r="C19" s="3" t="s">
        <v>32</v>
      </c>
      <c r="E19" s="5" t="s">
        <v>33</v>
      </c>
    </row>
    <row r="20" spans="2:5" ht="25.5" x14ac:dyDescent="0.25">
      <c r="B20" s="2" t="s">
        <v>34</v>
      </c>
      <c r="C20" s="3" t="s">
        <v>35</v>
      </c>
    </row>
    <row r="21" spans="2:5" x14ac:dyDescent="0.25">
      <c r="E21" s="4" t="s">
        <v>36</v>
      </c>
    </row>
    <row r="22" spans="2:5" ht="45.95" customHeight="1" x14ac:dyDescent="0.25">
      <c r="B22" s="71" t="s">
        <v>37</v>
      </c>
      <c r="C22" s="72"/>
      <c r="E22" s="5" t="s">
        <v>38</v>
      </c>
    </row>
    <row r="23" spans="2:5" ht="25.5" x14ac:dyDescent="0.25">
      <c r="B23" s="2" t="s">
        <v>39</v>
      </c>
      <c r="C23" s="3" t="s">
        <v>40</v>
      </c>
    </row>
    <row r="24" spans="2:5" ht="25.5" x14ac:dyDescent="0.25">
      <c r="B24" s="2" t="s">
        <v>41</v>
      </c>
      <c r="C24" s="3" t="s">
        <v>42</v>
      </c>
    </row>
    <row r="25" spans="2:5" x14ac:dyDescent="0.25">
      <c r="B25" s="2" t="s">
        <v>43</v>
      </c>
      <c r="C25" s="7" t="s">
        <v>44</v>
      </c>
    </row>
    <row r="26" spans="2:5" x14ac:dyDescent="0.25">
      <c r="B26" s="2" t="s">
        <v>45</v>
      </c>
      <c r="C26" s="7" t="s">
        <v>46</v>
      </c>
    </row>
    <row r="27" spans="2:5" x14ac:dyDescent="0.25">
      <c r="B27" s="2" t="s">
        <v>47</v>
      </c>
      <c r="C27" s="7" t="s">
        <v>48</v>
      </c>
    </row>
    <row r="28" spans="2:5" x14ac:dyDescent="0.25">
      <c r="B28" s="2" t="s">
        <v>49</v>
      </c>
      <c r="C28" s="3" t="s">
        <v>50</v>
      </c>
    </row>
    <row r="29" spans="2:5" ht="25.5" x14ac:dyDescent="0.25">
      <c r="B29" s="2" t="s">
        <v>51</v>
      </c>
      <c r="C29" s="3" t="s">
        <v>52</v>
      </c>
    </row>
    <row r="30" spans="2:5" ht="25.5" x14ac:dyDescent="0.25">
      <c r="B30" s="2" t="s">
        <v>53</v>
      </c>
      <c r="C30" s="8" t="s">
        <v>54</v>
      </c>
    </row>
    <row r="32" spans="2:5" ht="20.100000000000001" customHeight="1" x14ac:dyDescent="0.25">
      <c r="B32" s="71" t="s">
        <v>55</v>
      </c>
      <c r="C32" s="72"/>
    </row>
    <row r="33" spans="2:3" x14ac:dyDescent="0.25">
      <c r="B33" s="2" t="s">
        <v>56</v>
      </c>
      <c r="C33" s="7" t="s">
        <v>57</v>
      </c>
    </row>
    <row r="34" spans="2:3" x14ac:dyDescent="0.25">
      <c r="B34" s="2" t="s">
        <v>58</v>
      </c>
      <c r="C34" s="7" t="s">
        <v>59</v>
      </c>
    </row>
    <row r="35" spans="2:3" ht="25.5" x14ac:dyDescent="0.25">
      <c r="B35" s="2" t="s">
        <v>60</v>
      </c>
      <c r="C35" s="3" t="s">
        <v>61</v>
      </c>
    </row>
    <row r="36" spans="2:3" x14ac:dyDescent="0.25">
      <c r="B36" s="2" t="s">
        <v>62</v>
      </c>
      <c r="C36" s="3" t="s">
        <v>63</v>
      </c>
    </row>
    <row r="37" spans="2:3" x14ac:dyDescent="0.25">
      <c r="B37" s="2" t="s">
        <v>64</v>
      </c>
      <c r="C37" s="9" t="s">
        <v>65</v>
      </c>
    </row>
    <row r="38" spans="2:3" x14ac:dyDescent="0.25">
      <c r="B38" s="2" t="s">
        <v>66</v>
      </c>
      <c r="C38" s="3" t="s">
        <v>67</v>
      </c>
    </row>
  </sheetData>
  <mergeCells count="7">
    <mergeCell ref="B32:C32"/>
    <mergeCell ref="B17:C17"/>
    <mergeCell ref="B2:C2"/>
    <mergeCell ref="B11:C11"/>
    <mergeCell ref="B3:C3"/>
    <mergeCell ref="B5:C5"/>
    <mergeCell ref="B22:C2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41"/>
  <sheetViews>
    <sheetView showGridLines="0" workbookViewId="0">
      <pane xSplit="1" ySplit="4" topLeftCell="B5" activePane="bottomRight" state="frozen"/>
      <selection pane="topRight"/>
      <selection pane="bottomLeft"/>
      <selection pane="bottomRight" activeCell="I11" sqref="I11"/>
    </sheetView>
  </sheetViews>
  <sheetFormatPr defaultRowHeight="15" x14ac:dyDescent="0.25"/>
  <cols>
    <col min="1" max="1" width="2" customWidth="1"/>
    <col min="2" max="2" width="30" customWidth="1"/>
    <col min="3" max="3" width="74" customWidth="1"/>
    <col min="4" max="4" width="14" customWidth="1"/>
    <col min="5" max="5" width="24" customWidth="1"/>
  </cols>
  <sheetData>
    <row r="2" spans="2:6" ht="19.5" x14ac:dyDescent="0.3">
      <c r="B2" s="75" t="s">
        <v>68</v>
      </c>
      <c r="C2" s="72"/>
      <c r="D2" s="72"/>
      <c r="E2" s="72"/>
      <c r="F2" s="72"/>
    </row>
    <row r="3" spans="2:6" x14ac:dyDescent="0.25">
      <c r="B3" s="76" t="s">
        <v>69</v>
      </c>
      <c r="C3" s="72"/>
      <c r="D3" s="72"/>
      <c r="E3" s="72"/>
      <c r="F3" s="72"/>
    </row>
    <row r="5" spans="2:6" ht="18" customHeight="1" x14ac:dyDescent="0.25">
      <c r="B5" s="71" t="s">
        <v>70</v>
      </c>
      <c r="C5" s="72"/>
      <c r="D5" s="72"/>
      <c r="E5" s="72"/>
    </row>
    <row r="6" spans="2:6" ht="20.100000000000001" customHeight="1" x14ac:dyDescent="0.25">
      <c r="B6" s="10" t="s">
        <v>71</v>
      </c>
      <c r="C6" s="10" t="s">
        <v>72</v>
      </c>
      <c r="D6" s="10" t="s">
        <v>73</v>
      </c>
      <c r="E6" s="10" t="s">
        <v>74</v>
      </c>
    </row>
    <row r="7" spans="2:6" ht="30" customHeight="1" x14ac:dyDescent="0.25">
      <c r="B7" s="39" t="s">
        <v>75</v>
      </c>
      <c r="C7" s="40" t="s">
        <v>76</v>
      </c>
      <c r="D7" s="14" t="s">
        <v>77</v>
      </c>
      <c r="E7" s="40" t="s">
        <v>78</v>
      </c>
    </row>
    <row r="8" spans="2:6" ht="30" customHeight="1" x14ac:dyDescent="0.25">
      <c r="B8" s="41" t="s">
        <v>79</v>
      </c>
      <c r="C8" s="42" t="s">
        <v>80</v>
      </c>
      <c r="D8" s="22" t="s">
        <v>77</v>
      </c>
      <c r="E8" s="42" t="s">
        <v>81</v>
      </c>
    </row>
    <row r="9" spans="2:6" ht="30" customHeight="1" x14ac:dyDescent="0.25">
      <c r="B9" s="39" t="s">
        <v>82</v>
      </c>
      <c r="C9" s="40" t="s">
        <v>83</v>
      </c>
      <c r="D9" s="14" t="s">
        <v>77</v>
      </c>
      <c r="E9" s="40" t="s">
        <v>84</v>
      </c>
    </row>
    <row r="10" spans="2:6" ht="30" customHeight="1" x14ac:dyDescent="0.25">
      <c r="B10" s="41" t="s">
        <v>85</v>
      </c>
      <c r="C10" s="42" t="s">
        <v>86</v>
      </c>
      <c r="D10" s="22" t="s">
        <v>77</v>
      </c>
      <c r="E10" s="42" t="s">
        <v>87</v>
      </c>
    </row>
    <row r="11" spans="2:6" ht="30" customHeight="1" x14ac:dyDescent="0.25">
      <c r="B11" s="39" t="s">
        <v>88</v>
      </c>
      <c r="C11" s="40" t="s">
        <v>89</v>
      </c>
      <c r="D11" s="14" t="s">
        <v>77</v>
      </c>
      <c r="E11" s="40" t="s">
        <v>90</v>
      </c>
    </row>
    <row r="12" spans="2:6" ht="30" customHeight="1" x14ac:dyDescent="0.25">
      <c r="B12" s="41" t="s">
        <v>91</v>
      </c>
      <c r="C12" s="42" t="s">
        <v>92</v>
      </c>
      <c r="D12" s="22" t="s">
        <v>77</v>
      </c>
      <c r="E12" s="42" t="s">
        <v>93</v>
      </c>
    </row>
    <row r="13" spans="2:6" ht="30" customHeight="1" x14ac:dyDescent="0.25">
      <c r="B13" s="39" t="s">
        <v>94</v>
      </c>
      <c r="C13" s="40" t="s">
        <v>95</v>
      </c>
      <c r="D13" s="14" t="s">
        <v>96</v>
      </c>
      <c r="E13" s="40" t="s">
        <v>97</v>
      </c>
    </row>
    <row r="14" spans="2:6" ht="30" customHeight="1" x14ac:dyDescent="0.25">
      <c r="B14" s="41" t="s">
        <v>98</v>
      </c>
      <c r="C14" s="42" t="s">
        <v>99</v>
      </c>
      <c r="D14" s="22" t="s">
        <v>100</v>
      </c>
      <c r="E14" s="42" t="s">
        <v>101</v>
      </c>
    </row>
    <row r="15" spans="2:6" ht="30" customHeight="1" x14ac:dyDescent="0.25">
      <c r="B15" s="39" t="s">
        <v>102</v>
      </c>
      <c r="C15" s="40" t="s">
        <v>103</v>
      </c>
      <c r="D15" s="14" t="s">
        <v>100</v>
      </c>
      <c r="E15" s="40" t="s">
        <v>104</v>
      </c>
    </row>
    <row r="16" spans="2:6" ht="30" customHeight="1" x14ac:dyDescent="0.25">
      <c r="B16" s="41" t="s">
        <v>105</v>
      </c>
      <c r="C16" s="42" t="s">
        <v>106</v>
      </c>
      <c r="D16" s="22" t="s">
        <v>100</v>
      </c>
      <c r="E16" s="42" t="s">
        <v>107</v>
      </c>
    </row>
    <row r="17" spans="2:5" ht="30" customHeight="1" x14ac:dyDescent="0.25">
      <c r="B17" s="39" t="s">
        <v>108</v>
      </c>
      <c r="C17" s="40" t="s">
        <v>109</v>
      </c>
      <c r="D17" s="14" t="s">
        <v>100</v>
      </c>
      <c r="E17" s="40" t="s">
        <v>110</v>
      </c>
    </row>
    <row r="18" spans="2:5" ht="30" customHeight="1" x14ac:dyDescent="0.25">
      <c r="B18" s="41" t="s">
        <v>111</v>
      </c>
      <c r="C18" s="42" t="s">
        <v>112</v>
      </c>
      <c r="D18" s="22" t="s">
        <v>100</v>
      </c>
      <c r="E18" s="42" t="s">
        <v>113</v>
      </c>
    </row>
    <row r="20" spans="2:5" ht="18" customHeight="1" x14ac:dyDescent="0.25">
      <c r="B20" s="71" t="s">
        <v>114</v>
      </c>
      <c r="C20" s="72"/>
      <c r="D20" s="72"/>
      <c r="E20" s="72"/>
    </row>
    <row r="21" spans="2:5" ht="20.100000000000001" customHeight="1" x14ac:dyDescent="0.25">
      <c r="B21" s="10" t="s">
        <v>71</v>
      </c>
      <c r="C21" s="10" t="s">
        <v>72</v>
      </c>
      <c r="D21" s="10" t="s">
        <v>73</v>
      </c>
      <c r="E21" s="10" t="s">
        <v>74</v>
      </c>
    </row>
    <row r="22" spans="2:5" ht="30" customHeight="1" x14ac:dyDescent="0.25">
      <c r="B22" s="39" t="s">
        <v>115</v>
      </c>
      <c r="C22" s="40" t="s">
        <v>116</v>
      </c>
      <c r="D22" s="14" t="s">
        <v>117</v>
      </c>
      <c r="E22" s="40" t="s">
        <v>118</v>
      </c>
    </row>
    <row r="23" spans="2:5" ht="30" customHeight="1" x14ac:dyDescent="0.25">
      <c r="B23" s="41" t="s">
        <v>119</v>
      </c>
      <c r="C23" s="42" t="s">
        <v>120</v>
      </c>
      <c r="D23" s="22" t="s">
        <v>77</v>
      </c>
      <c r="E23" s="42" t="s">
        <v>121</v>
      </c>
    </row>
    <row r="24" spans="2:5" ht="30" customHeight="1" x14ac:dyDescent="0.25">
      <c r="B24" s="39" t="s">
        <v>122</v>
      </c>
      <c r="C24" s="40" t="s">
        <v>123</v>
      </c>
      <c r="D24" s="14">
        <f>60</f>
        <v>60</v>
      </c>
      <c r="E24" s="40" t="s">
        <v>124</v>
      </c>
    </row>
    <row r="25" spans="2:5" ht="30" customHeight="1" x14ac:dyDescent="0.25">
      <c r="B25" s="41" t="s">
        <v>125</v>
      </c>
      <c r="C25" s="42" t="s">
        <v>126</v>
      </c>
      <c r="D25" s="22" t="s">
        <v>117</v>
      </c>
      <c r="E25" s="42" t="s">
        <v>127</v>
      </c>
    </row>
    <row r="26" spans="2:5" ht="30" customHeight="1" x14ac:dyDescent="0.25">
      <c r="B26" s="39" t="s">
        <v>128</v>
      </c>
      <c r="C26" s="40" t="s">
        <v>129</v>
      </c>
      <c r="D26" s="14" t="s">
        <v>130</v>
      </c>
      <c r="E26" s="40" t="s">
        <v>131</v>
      </c>
    </row>
    <row r="27" spans="2:5" ht="30" customHeight="1" x14ac:dyDescent="0.25">
      <c r="B27" s="41" t="s">
        <v>132</v>
      </c>
      <c r="C27" s="42" t="s">
        <v>133</v>
      </c>
      <c r="D27" s="22" t="s">
        <v>117</v>
      </c>
      <c r="E27" s="42" t="s">
        <v>134</v>
      </c>
    </row>
    <row r="28" spans="2:5" ht="30" customHeight="1" x14ac:dyDescent="0.25">
      <c r="B28" s="39" t="s">
        <v>135</v>
      </c>
      <c r="C28" s="40" t="s">
        <v>136</v>
      </c>
      <c r="D28" s="14" t="s">
        <v>137</v>
      </c>
      <c r="E28" s="40" t="s">
        <v>138</v>
      </c>
    </row>
    <row r="30" spans="2:5" ht="18" customHeight="1" x14ac:dyDescent="0.25">
      <c r="B30" s="71" t="s">
        <v>139</v>
      </c>
      <c r="C30" s="72"/>
      <c r="D30" s="72"/>
      <c r="E30" s="72"/>
    </row>
    <row r="31" spans="2:5" ht="20.100000000000001" customHeight="1" x14ac:dyDescent="0.25">
      <c r="B31" s="10" t="s">
        <v>71</v>
      </c>
      <c r="C31" s="10" t="s">
        <v>72</v>
      </c>
      <c r="D31" s="10" t="s">
        <v>73</v>
      </c>
      <c r="E31" s="10" t="s">
        <v>74</v>
      </c>
    </row>
    <row r="32" spans="2:5" ht="30" customHeight="1" x14ac:dyDescent="0.25">
      <c r="B32" s="39" t="s">
        <v>140</v>
      </c>
      <c r="C32" s="40" t="s">
        <v>141</v>
      </c>
      <c r="D32" s="14" t="s">
        <v>117</v>
      </c>
      <c r="E32" s="40" t="s">
        <v>142</v>
      </c>
    </row>
    <row r="33" spans="2:5" ht="30" customHeight="1" x14ac:dyDescent="0.25">
      <c r="B33" s="41" t="s">
        <v>143</v>
      </c>
      <c r="C33" s="42" t="s">
        <v>144</v>
      </c>
      <c r="D33" s="22" t="s">
        <v>100</v>
      </c>
      <c r="E33" s="42" t="s">
        <v>145</v>
      </c>
    </row>
    <row r="34" spans="2:5" ht="30" customHeight="1" x14ac:dyDescent="0.25">
      <c r="B34" s="39" t="s">
        <v>146</v>
      </c>
      <c r="C34" s="40" t="s">
        <v>147</v>
      </c>
      <c r="D34" s="14" t="s">
        <v>100</v>
      </c>
      <c r="E34" s="40" t="s">
        <v>148</v>
      </c>
    </row>
    <row r="35" spans="2:5" ht="30" customHeight="1" x14ac:dyDescent="0.25">
      <c r="B35" s="41" t="s">
        <v>149</v>
      </c>
      <c r="C35" s="42" t="s">
        <v>150</v>
      </c>
      <c r="D35" s="22" t="s">
        <v>151</v>
      </c>
      <c r="E35" s="42" t="s">
        <v>152</v>
      </c>
    </row>
    <row r="36" spans="2:5" ht="30" customHeight="1" x14ac:dyDescent="0.25">
      <c r="B36" s="39" t="s">
        <v>153</v>
      </c>
      <c r="C36" s="40" t="s">
        <v>154</v>
      </c>
      <c r="D36" s="14" t="s">
        <v>155</v>
      </c>
      <c r="E36" s="40" t="s">
        <v>156</v>
      </c>
    </row>
    <row r="37" spans="2:5" ht="30" customHeight="1" x14ac:dyDescent="0.25">
      <c r="B37" s="41" t="s">
        <v>157</v>
      </c>
      <c r="C37" s="42" t="s">
        <v>158</v>
      </c>
      <c r="D37" s="22" t="s">
        <v>117</v>
      </c>
      <c r="E37" s="42" t="s">
        <v>159</v>
      </c>
    </row>
    <row r="38" spans="2:5" ht="30" customHeight="1" x14ac:dyDescent="0.25">
      <c r="B38" s="39" t="s">
        <v>160</v>
      </c>
      <c r="C38" s="40" t="s">
        <v>161</v>
      </c>
      <c r="D38" s="14" t="s">
        <v>162</v>
      </c>
      <c r="E38" s="40" t="s">
        <v>163</v>
      </c>
    </row>
    <row r="39" spans="2:5" ht="30" customHeight="1" x14ac:dyDescent="0.25">
      <c r="B39" s="41" t="s">
        <v>164</v>
      </c>
      <c r="C39" s="42" t="s">
        <v>165</v>
      </c>
      <c r="D39" s="22" t="s">
        <v>166</v>
      </c>
      <c r="E39" s="42" t="s">
        <v>167</v>
      </c>
    </row>
    <row r="40" spans="2:5" ht="30" customHeight="1" x14ac:dyDescent="0.25">
      <c r="B40" s="39" t="s">
        <v>168</v>
      </c>
      <c r="C40" s="40" t="s">
        <v>169</v>
      </c>
      <c r="D40" s="14" t="s">
        <v>117</v>
      </c>
      <c r="E40" s="40" t="s">
        <v>170</v>
      </c>
    </row>
    <row r="41" spans="2:5" ht="30" customHeight="1" x14ac:dyDescent="0.25">
      <c r="B41" s="41" t="s">
        <v>171</v>
      </c>
      <c r="C41" s="42" t="s">
        <v>172</v>
      </c>
      <c r="D41" s="22" t="s">
        <v>117</v>
      </c>
      <c r="E41" s="42" t="s">
        <v>173</v>
      </c>
    </row>
  </sheetData>
  <mergeCells count="5">
    <mergeCell ref="B2:F2"/>
    <mergeCell ref="B30:E30"/>
    <mergeCell ref="B3:F3"/>
    <mergeCell ref="B5:E5"/>
    <mergeCell ref="B20:E2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C196"/>
  <sheetViews>
    <sheetView showGridLines="0" workbookViewId="0">
      <pane xSplit="3" ySplit="1" topLeftCell="D2" activePane="bottomRight" state="frozen"/>
      <selection pane="topRight"/>
      <selection pane="bottomLeft"/>
      <selection pane="bottomRight" activeCell="A159" sqref="A159"/>
    </sheetView>
  </sheetViews>
  <sheetFormatPr defaultRowHeight="15" x14ac:dyDescent="0.25"/>
  <cols>
    <col min="1" max="1" width="30" customWidth="1"/>
    <col min="2" max="2" width="5" customWidth="1"/>
    <col min="3" max="3" width="54" customWidth="1"/>
    <col min="4" max="4" width="13.28515625" customWidth="1"/>
    <col min="5" max="5" width="12.28515625" customWidth="1"/>
    <col min="6" max="6" width="8" customWidth="1"/>
    <col min="7" max="7" width="37.85546875" customWidth="1"/>
    <col min="8" max="9" width="9" customWidth="1"/>
    <col min="10" max="10" width="13.7109375" customWidth="1"/>
    <col min="11" max="11" width="16" customWidth="1"/>
    <col min="12" max="12" width="14" customWidth="1"/>
    <col min="13" max="13" width="14.140625" customWidth="1"/>
    <col min="14" max="15" width="8" customWidth="1"/>
    <col min="16" max="16" width="12.42578125" customWidth="1"/>
    <col min="17" max="17" width="12" customWidth="1"/>
    <col min="18" max="18" width="11.85546875" customWidth="1"/>
    <col min="19" max="19" width="8" customWidth="1"/>
    <col min="20" max="20" width="9" customWidth="1"/>
    <col min="21" max="21" width="3" customWidth="1"/>
    <col min="22" max="81" width="4.140625" customWidth="1"/>
  </cols>
  <sheetData>
    <row r="1" spans="1:81" ht="33.950000000000003" customHeight="1" x14ac:dyDescent="0.25">
      <c r="A1" s="10" t="s">
        <v>174</v>
      </c>
      <c r="B1" s="10" t="s">
        <v>115</v>
      </c>
      <c r="C1" s="10" t="s">
        <v>175</v>
      </c>
      <c r="D1" s="10" t="s">
        <v>176</v>
      </c>
      <c r="E1" s="10" t="s">
        <v>177</v>
      </c>
      <c r="F1" s="10" t="s">
        <v>128</v>
      </c>
      <c r="G1" s="10" t="s">
        <v>132</v>
      </c>
      <c r="H1" s="10" t="s">
        <v>75</v>
      </c>
      <c r="I1" s="10" t="s">
        <v>79</v>
      </c>
      <c r="J1" s="10" t="s">
        <v>178</v>
      </c>
      <c r="K1" s="10" t="s">
        <v>179</v>
      </c>
      <c r="L1" s="10" t="s">
        <v>180</v>
      </c>
      <c r="M1" s="10" t="s">
        <v>181</v>
      </c>
      <c r="N1" s="10" t="s">
        <v>182</v>
      </c>
      <c r="O1" s="10" t="s">
        <v>183</v>
      </c>
      <c r="P1" s="10" t="s">
        <v>184</v>
      </c>
      <c r="Q1" s="10" t="s">
        <v>185</v>
      </c>
      <c r="R1" s="10" t="s">
        <v>186</v>
      </c>
      <c r="S1" s="10" t="s">
        <v>187</v>
      </c>
      <c r="T1" s="10" t="s">
        <v>188</v>
      </c>
      <c r="U1" s="11" t="s">
        <v>189</v>
      </c>
      <c r="V1" s="12" t="s">
        <v>190</v>
      </c>
      <c r="W1" s="12" t="s">
        <v>191</v>
      </c>
      <c r="X1" s="12" t="s">
        <v>192</v>
      </c>
      <c r="Y1" s="12" t="s">
        <v>193</v>
      </c>
      <c r="Z1" s="12" t="s">
        <v>194</v>
      </c>
      <c r="AA1" s="12" t="s">
        <v>195</v>
      </c>
      <c r="AB1" s="12" t="s">
        <v>196</v>
      </c>
      <c r="AC1" s="12" t="s">
        <v>197</v>
      </c>
      <c r="AD1" s="12" t="s">
        <v>198</v>
      </c>
      <c r="AE1" s="12" t="s">
        <v>199</v>
      </c>
      <c r="AF1" s="12" t="s">
        <v>200</v>
      </c>
      <c r="AG1" s="12" t="s">
        <v>201</v>
      </c>
      <c r="AH1" s="12" t="s">
        <v>202</v>
      </c>
      <c r="AI1" s="12" t="s">
        <v>203</v>
      </c>
      <c r="AJ1" s="12" t="s">
        <v>204</v>
      </c>
      <c r="AK1" s="12" t="s">
        <v>205</v>
      </c>
      <c r="AL1" s="12" t="s">
        <v>206</v>
      </c>
      <c r="AM1" s="12" t="s">
        <v>207</v>
      </c>
      <c r="AN1" s="12" t="s">
        <v>208</v>
      </c>
      <c r="AO1" s="12" t="s">
        <v>209</v>
      </c>
      <c r="AP1" s="12" t="s">
        <v>210</v>
      </c>
      <c r="AQ1" s="12" t="s">
        <v>211</v>
      </c>
      <c r="AR1" s="12" t="s">
        <v>212</v>
      </c>
      <c r="AS1" s="12" t="s">
        <v>213</v>
      </c>
      <c r="AT1" s="12" t="s">
        <v>214</v>
      </c>
      <c r="AU1" s="12" t="s">
        <v>215</v>
      </c>
      <c r="AV1" s="12" t="s">
        <v>216</v>
      </c>
      <c r="AW1" s="12" t="s">
        <v>217</v>
      </c>
      <c r="AX1" s="12" t="s">
        <v>218</v>
      </c>
      <c r="AY1" s="12" t="s">
        <v>219</v>
      </c>
      <c r="AZ1" s="12" t="s">
        <v>220</v>
      </c>
      <c r="BA1" s="12" t="s">
        <v>221</v>
      </c>
      <c r="BB1" s="12" t="s">
        <v>222</v>
      </c>
      <c r="BC1" s="12" t="s">
        <v>223</v>
      </c>
      <c r="BD1" s="12" t="s">
        <v>224</v>
      </c>
      <c r="BE1" s="12" t="s">
        <v>225</v>
      </c>
      <c r="BF1" s="12" t="s">
        <v>226</v>
      </c>
      <c r="BG1" s="12" t="s">
        <v>227</v>
      </c>
      <c r="BH1" s="12" t="s">
        <v>228</v>
      </c>
      <c r="BI1" s="12" t="s">
        <v>229</v>
      </c>
      <c r="BJ1" s="12" t="s">
        <v>230</v>
      </c>
      <c r="BK1" s="12" t="s">
        <v>231</v>
      </c>
      <c r="BL1" s="12" t="s">
        <v>232</v>
      </c>
      <c r="BM1" s="12" t="s">
        <v>233</v>
      </c>
      <c r="BN1" s="12" t="s">
        <v>234</v>
      </c>
      <c r="BO1" s="12" t="s">
        <v>235</v>
      </c>
      <c r="BP1" s="12" t="s">
        <v>236</v>
      </c>
      <c r="BQ1" s="12" t="s">
        <v>237</v>
      </c>
      <c r="BR1" s="12" t="s">
        <v>238</v>
      </c>
      <c r="BS1" s="12" t="s">
        <v>239</v>
      </c>
      <c r="BT1" s="12" t="s">
        <v>240</v>
      </c>
      <c r="BU1" s="12" t="s">
        <v>241</v>
      </c>
      <c r="BV1" s="12" t="s">
        <v>242</v>
      </c>
      <c r="BW1" s="12" t="s">
        <v>243</v>
      </c>
      <c r="BX1" s="12" t="s">
        <v>244</v>
      </c>
      <c r="BY1" s="12" t="s">
        <v>245</v>
      </c>
      <c r="BZ1" s="12" t="s">
        <v>246</v>
      </c>
      <c r="CA1" s="12" t="s">
        <v>247</v>
      </c>
      <c r="CB1" s="12" t="s">
        <v>248</v>
      </c>
      <c r="CC1" s="12" t="s">
        <v>249</v>
      </c>
    </row>
    <row r="2" spans="1:81" x14ac:dyDescent="0.25">
      <c r="A2" s="13" t="s">
        <v>250</v>
      </c>
      <c r="B2" s="14">
        <v>1</v>
      </c>
      <c r="C2" s="13" t="s">
        <v>251</v>
      </c>
      <c r="D2" s="15">
        <v>14500</v>
      </c>
      <c r="E2" s="16">
        <v>59.995561999999993</v>
      </c>
      <c r="F2" s="17">
        <v>0</v>
      </c>
      <c r="G2" s="13" t="s">
        <v>252</v>
      </c>
      <c r="H2" s="18">
        <v>241.68454326671699</v>
      </c>
      <c r="I2" s="16">
        <v>245.60369387955589</v>
      </c>
      <c r="J2" s="16">
        <v>191.04360818713559</v>
      </c>
      <c r="K2" s="16">
        <v>165.77355610735171</v>
      </c>
      <c r="L2" s="16">
        <v>169.13521166276831</v>
      </c>
      <c r="M2" s="16">
        <v>92.828244540538847</v>
      </c>
      <c r="N2" s="16">
        <v>40.762752627159408</v>
      </c>
      <c r="O2" s="16">
        <v>406.43797756462368</v>
      </c>
      <c r="P2" s="19">
        <v>4.137624965517241</v>
      </c>
      <c r="Q2" s="19">
        <v>0.41844509170196481</v>
      </c>
      <c r="R2" s="16">
        <v>10.113171087018889</v>
      </c>
      <c r="S2" s="16">
        <v>2.7588109524794811E-2</v>
      </c>
      <c r="T2" s="16">
        <v>2.0689655172413789E-2</v>
      </c>
      <c r="U2" s="14"/>
      <c r="V2" s="20">
        <v>247</v>
      </c>
      <c r="W2" s="20">
        <v>242</v>
      </c>
      <c r="X2" s="20">
        <v>245</v>
      </c>
      <c r="Y2" s="20">
        <v>243</v>
      </c>
      <c r="Z2" s="20">
        <v>244</v>
      </c>
      <c r="AA2" s="20">
        <v>241</v>
      </c>
      <c r="AB2" s="20">
        <v>235</v>
      </c>
      <c r="AC2" s="20">
        <v>245</v>
      </c>
      <c r="AD2" s="20">
        <v>244</v>
      </c>
      <c r="AE2" s="20">
        <v>243</v>
      </c>
      <c r="AF2" s="20">
        <v>242</v>
      </c>
      <c r="AG2" s="20">
        <v>243</v>
      </c>
      <c r="AH2" s="20">
        <v>242</v>
      </c>
      <c r="AI2" s="20">
        <v>241</v>
      </c>
      <c r="AJ2" s="20">
        <v>244</v>
      </c>
      <c r="AK2" s="20">
        <v>245</v>
      </c>
      <c r="AL2" s="20">
        <v>245</v>
      </c>
      <c r="AM2" s="20">
        <v>247</v>
      </c>
      <c r="AN2" s="20">
        <v>245</v>
      </c>
      <c r="AO2" s="20">
        <v>241</v>
      </c>
      <c r="AP2" s="20">
        <v>238</v>
      </c>
      <c r="AQ2" s="20">
        <v>244</v>
      </c>
      <c r="AR2" s="20">
        <v>246</v>
      </c>
      <c r="AS2" s="20">
        <v>244</v>
      </c>
      <c r="AT2" s="20">
        <v>245</v>
      </c>
      <c r="AU2" s="20">
        <v>246</v>
      </c>
      <c r="AV2" s="20">
        <v>244</v>
      </c>
      <c r="AW2" s="20">
        <v>246</v>
      </c>
      <c r="AX2" s="20">
        <v>244</v>
      </c>
      <c r="AY2" s="20">
        <v>241</v>
      </c>
      <c r="AZ2" s="20">
        <v>244</v>
      </c>
      <c r="BA2" s="20">
        <v>244</v>
      </c>
      <c r="BB2" s="20">
        <v>245</v>
      </c>
      <c r="BC2" s="20">
        <v>245</v>
      </c>
      <c r="BD2" s="20">
        <v>248</v>
      </c>
      <c r="BE2" s="20">
        <v>242</v>
      </c>
      <c r="BF2" s="20">
        <v>243</v>
      </c>
      <c r="BG2" s="20">
        <v>245</v>
      </c>
      <c r="BH2" s="20">
        <v>244</v>
      </c>
      <c r="BI2" s="20">
        <v>240</v>
      </c>
      <c r="BJ2" s="20">
        <v>244</v>
      </c>
      <c r="BK2" s="20">
        <v>244</v>
      </c>
      <c r="BL2" s="20">
        <v>245</v>
      </c>
      <c r="BM2" s="20">
        <v>248</v>
      </c>
      <c r="BN2" s="20">
        <v>243</v>
      </c>
      <c r="BO2" s="20">
        <v>243</v>
      </c>
      <c r="BP2" s="20">
        <v>239</v>
      </c>
      <c r="BQ2" s="20">
        <v>243</v>
      </c>
      <c r="BR2" s="20">
        <v>245</v>
      </c>
      <c r="BS2" s="20">
        <v>239</v>
      </c>
      <c r="BT2" s="20">
        <v>234</v>
      </c>
      <c r="BU2" s="20">
        <v>234</v>
      </c>
      <c r="BV2" s="20">
        <v>232</v>
      </c>
      <c r="BW2" s="20">
        <v>233</v>
      </c>
      <c r="BX2" s="20">
        <v>232</v>
      </c>
      <c r="BY2" s="20">
        <v>231</v>
      </c>
      <c r="BZ2" s="20">
        <v>230</v>
      </c>
      <c r="CA2" s="20">
        <v>232</v>
      </c>
      <c r="CB2" s="20">
        <v>235</v>
      </c>
      <c r="CC2" s="20">
        <v>232</v>
      </c>
    </row>
    <row r="3" spans="1:81" x14ac:dyDescent="0.25">
      <c r="A3" s="13" t="s">
        <v>250</v>
      </c>
      <c r="B3" s="14">
        <v>2</v>
      </c>
      <c r="C3" s="13" t="s">
        <v>251</v>
      </c>
      <c r="D3" s="15">
        <v>14602</v>
      </c>
      <c r="E3" s="16">
        <v>59.991076500000013</v>
      </c>
      <c r="F3" s="17">
        <v>0</v>
      </c>
      <c r="G3" s="13" t="s">
        <v>252</v>
      </c>
      <c r="H3" s="18">
        <v>243.4028667580252</v>
      </c>
      <c r="I3" s="16">
        <v>247.13936188616759</v>
      </c>
      <c r="J3" s="16">
        <v>194.26177901440511</v>
      </c>
      <c r="K3" s="16">
        <v>173.10607713637901</v>
      </c>
      <c r="L3" s="16">
        <v>169.36794704960209</v>
      </c>
      <c r="M3" s="16">
        <v>75.597218022376779</v>
      </c>
      <c r="N3" s="16">
        <v>38.553622305583723</v>
      </c>
      <c r="O3" s="16">
        <v>433.74539145521578</v>
      </c>
      <c r="P3" s="19">
        <v>4.1084150458841258</v>
      </c>
      <c r="Q3" s="19">
        <v>0.41389269376190269</v>
      </c>
      <c r="R3" s="16">
        <v>10.07426681918486</v>
      </c>
      <c r="S3" s="16">
        <v>3.4244229847270727E-2</v>
      </c>
      <c r="T3" s="16">
        <v>3.4241884673332418E-2</v>
      </c>
      <c r="U3" s="14"/>
      <c r="V3" s="20">
        <v>244</v>
      </c>
      <c r="W3" s="20">
        <v>245</v>
      </c>
      <c r="X3" s="20">
        <v>247</v>
      </c>
      <c r="Y3" s="20">
        <v>245</v>
      </c>
      <c r="Z3" s="20">
        <v>246</v>
      </c>
      <c r="AA3" s="20">
        <v>241</v>
      </c>
      <c r="AB3" s="20">
        <v>246</v>
      </c>
      <c r="AC3" s="20">
        <v>240</v>
      </c>
      <c r="AD3" s="20">
        <v>244</v>
      </c>
      <c r="AE3" s="20">
        <v>244</v>
      </c>
      <c r="AF3" s="20">
        <v>245</v>
      </c>
      <c r="AG3" s="20">
        <v>243</v>
      </c>
      <c r="AH3" s="20">
        <v>243</v>
      </c>
      <c r="AI3" s="20">
        <v>248</v>
      </c>
      <c r="AJ3" s="20">
        <v>245</v>
      </c>
      <c r="AK3" s="20">
        <v>245</v>
      </c>
      <c r="AL3" s="20">
        <v>245</v>
      </c>
      <c r="AM3" s="20">
        <v>245</v>
      </c>
      <c r="AN3" s="20">
        <v>243</v>
      </c>
      <c r="AO3" s="20">
        <v>236</v>
      </c>
      <c r="AP3" s="20">
        <v>247</v>
      </c>
      <c r="AQ3" s="20">
        <v>244</v>
      </c>
      <c r="AR3" s="20">
        <v>244</v>
      </c>
      <c r="AS3" s="20">
        <v>247</v>
      </c>
      <c r="AT3" s="20">
        <v>244</v>
      </c>
      <c r="AU3" s="20">
        <v>241</v>
      </c>
      <c r="AV3" s="20">
        <v>244</v>
      </c>
      <c r="AW3" s="20">
        <v>243</v>
      </c>
      <c r="AX3" s="20">
        <v>244</v>
      </c>
      <c r="AY3" s="20">
        <v>246</v>
      </c>
      <c r="AZ3" s="20">
        <v>245</v>
      </c>
      <c r="BA3" s="20">
        <v>245</v>
      </c>
      <c r="BB3" s="20">
        <v>246</v>
      </c>
      <c r="BC3" s="20">
        <v>242</v>
      </c>
      <c r="BD3" s="20">
        <v>244</v>
      </c>
      <c r="BE3" s="20">
        <v>242</v>
      </c>
      <c r="BF3" s="20">
        <v>243</v>
      </c>
      <c r="BG3" s="20">
        <v>244</v>
      </c>
      <c r="BH3" s="20">
        <v>247</v>
      </c>
      <c r="BI3" s="20">
        <v>243</v>
      </c>
      <c r="BJ3" s="20">
        <v>245</v>
      </c>
      <c r="BK3" s="20">
        <v>242</v>
      </c>
      <c r="BL3" s="20">
        <v>240</v>
      </c>
      <c r="BM3" s="20">
        <v>242</v>
      </c>
      <c r="BN3" s="20">
        <v>243</v>
      </c>
      <c r="BO3" s="20">
        <v>240</v>
      </c>
      <c r="BP3" s="20">
        <v>244</v>
      </c>
      <c r="BQ3" s="20">
        <v>240</v>
      </c>
      <c r="BR3" s="20">
        <v>243</v>
      </c>
      <c r="BS3" s="20">
        <v>246</v>
      </c>
      <c r="BT3" s="20">
        <v>243</v>
      </c>
      <c r="BU3" s="20">
        <v>242</v>
      </c>
      <c r="BV3" s="20">
        <v>242</v>
      </c>
      <c r="BW3" s="20">
        <v>235</v>
      </c>
      <c r="BX3" s="20">
        <v>240</v>
      </c>
      <c r="BY3" s="20">
        <v>238</v>
      </c>
      <c r="BZ3" s="20">
        <v>242</v>
      </c>
      <c r="CA3" s="20">
        <v>244</v>
      </c>
      <c r="CB3" s="20">
        <v>243</v>
      </c>
      <c r="CC3" s="20">
        <v>243</v>
      </c>
    </row>
    <row r="4" spans="1:81" x14ac:dyDescent="0.25">
      <c r="A4" s="13" t="s">
        <v>250</v>
      </c>
      <c r="B4" s="14">
        <v>3</v>
      </c>
      <c r="C4" s="13" t="s">
        <v>251</v>
      </c>
      <c r="D4" s="15">
        <v>14530</v>
      </c>
      <c r="E4" s="16">
        <v>59.990603800000002</v>
      </c>
      <c r="F4" s="17">
        <v>0</v>
      </c>
      <c r="G4" s="13" t="s">
        <v>252</v>
      </c>
      <c r="H4" s="18">
        <v>242.2045967138607</v>
      </c>
      <c r="I4" s="16">
        <v>246.19323707177759</v>
      </c>
      <c r="J4" s="16">
        <v>193.38619222587499</v>
      </c>
      <c r="K4" s="16">
        <v>173.4344368226547</v>
      </c>
      <c r="L4" s="16">
        <v>175.22138229834249</v>
      </c>
      <c r="M4" s="16">
        <v>106.4622591291387</v>
      </c>
      <c r="N4" s="16">
        <v>45.936671704388317</v>
      </c>
      <c r="O4" s="16">
        <v>479.66231772831929</v>
      </c>
      <c r="P4" s="19">
        <v>4.1287407983482449</v>
      </c>
      <c r="Q4" s="19">
        <v>0.40479615015568232</v>
      </c>
      <c r="R4" s="16">
        <v>9.8043488299780428</v>
      </c>
      <c r="S4" s="16">
        <v>2.7531144607337049E-2</v>
      </c>
      <c r="T4" s="16">
        <v>1.3764624913971089E-2</v>
      </c>
      <c r="U4" s="14"/>
      <c r="V4" s="20">
        <v>240</v>
      </c>
      <c r="W4" s="20">
        <v>244</v>
      </c>
      <c r="X4" s="20">
        <v>241</v>
      </c>
      <c r="Y4" s="20">
        <v>240</v>
      </c>
      <c r="Z4" s="20">
        <v>245</v>
      </c>
      <c r="AA4" s="20">
        <v>240</v>
      </c>
      <c r="AB4" s="20">
        <v>242</v>
      </c>
      <c r="AC4" s="20">
        <v>243</v>
      </c>
      <c r="AD4" s="20">
        <v>242</v>
      </c>
      <c r="AE4" s="20">
        <v>241</v>
      </c>
      <c r="AF4" s="20">
        <v>234</v>
      </c>
      <c r="AG4" s="20">
        <v>245</v>
      </c>
      <c r="AH4" s="20">
        <v>242</v>
      </c>
      <c r="AI4" s="20">
        <v>245</v>
      </c>
      <c r="AJ4" s="20">
        <v>245</v>
      </c>
      <c r="AK4" s="20">
        <v>243</v>
      </c>
      <c r="AL4" s="20">
        <v>241</v>
      </c>
      <c r="AM4" s="20">
        <v>244</v>
      </c>
      <c r="AN4" s="20">
        <v>244</v>
      </c>
      <c r="AO4" s="20">
        <v>239</v>
      </c>
      <c r="AP4" s="20">
        <v>238</v>
      </c>
      <c r="AQ4" s="20">
        <v>244</v>
      </c>
      <c r="AR4" s="20">
        <v>244</v>
      </c>
      <c r="AS4" s="20">
        <v>241</v>
      </c>
      <c r="AT4" s="20">
        <v>240</v>
      </c>
      <c r="AU4" s="20">
        <v>243</v>
      </c>
      <c r="AV4" s="20">
        <v>240</v>
      </c>
      <c r="AW4" s="20">
        <v>242</v>
      </c>
      <c r="AX4" s="20">
        <v>245</v>
      </c>
      <c r="AY4" s="20">
        <v>245</v>
      </c>
      <c r="AZ4" s="20">
        <v>244</v>
      </c>
      <c r="BA4" s="20">
        <v>245</v>
      </c>
      <c r="BB4" s="20">
        <v>240</v>
      </c>
      <c r="BC4" s="20">
        <v>245</v>
      </c>
      <c r="BD4" s="20">
        <v>244</v>
      </c>
      <c r="BE4" s="20">
        <v>242</v>
      </c>
      <c r="BF4" s="20">
        <v>242</v>
      </c>
      <c r="BG4" s="20">
        <v>242</v>
      </c>
      <c r="BH4" s="20">
        <v>244</v>
      </c>
      <c r="BI4" s="20">
        <v>241</v>
      </c>
      <c r="BJ4" s="20">
        <v>232</v>
      </c>
      <c r="BK4" s="20">
        <v>242</v>
      </c>
      <c r="BL4" s="20">
        <v>241</v>
      </c>
      <c r="BM4" s="20">
        <v>243</v>
      </c>
      <c r="BN4" s="20">
        <v>243</v>
      </c>
      <c r="BO4" s="20">
        <v>242</v>
      </c>
      <c r="BP4" s="20">
        <v>244</v>
      </c>
      <c r="BQ4" s="20">
        <v>244</v>
      </c>
      <c r="BR4" s="20">
        <v>244</v>
      </c>
      <c r="BS4" s="20">
        <v>241</v>
      </c>
      <c r="BT4" s="20">
        <v>239</v>
      </c>
      <c r="BU4" s="20">
        <v>243</v>
      </c>
      <c r="BV4" s="20">
        <v>237</v>
      </c>
      <c r="BW4" s="20">
        <v>242</v>
      </c>
      <c r="BX4" s="20">
        <v>240</v>
      </c>
      <c r="BY4" s="20">
        <v>242</v>
      </c>
      <c r="BZ4" s="20">
        <v>246</v>
      </c>
      <c r="CA4" s="20">
        <v>243</v>
      </c>
      <c r="CB4" s="20">
        <v>247</v>
      </c>
      <c r="CC4" s="20">
        <v>244</v>
      </c>
    </row>
    <row r="5" spans="1:81" x14ac:dyDescent="0.25">
      <c r="A5" s="13" t="s">
        <v>250</v>
      </c>
      <c r="B5" s="14">
        <v>4</v>
      </c>
      <c r="C5" s="13" t="s">
        <v>251</v>
      </c>
      <c r="D5" s="15">
        <v>14494</v>
      </c>
      <c r="E5" s="16">
        <v>59.996263300000003</v>
      </c>
      <c r="F5" s="17">
        <v>0</v>
      </c>
      <c r="G5" s="13" t="s">
        <v>252</v>
      </c>
      <c r="H5" s="18">
        <v>241.58171197305211</v>
      </c>
      <c r="I5" s="16">
        <v>245.52228728562829</v>
      </c>
      <c r="J5" s="16">
        <v>191.92741765690019</v>
      </c>
      <c r="K5" s="16">
        <v>168.28414373788149</v>
      </c>
      <c r="L5" s="16">
        <v>169.69116208500529</v>
      </c>
      <c r="M5" s="16">
        <v>91.937115013330882</v>
      </c>
      <c r="N5" s="16">
        <v>43.801055605440091</v>
      </c>
      <c r="O5" s="16">
        <v>469.41745294090032</v>
      </c>
      <c r="P5" s="19">
        <v>4.1393861804884784</v>
      </c>
      <c r="Q5" s="19">
        <v>0.41541685396552119</v>
      </c>
      <c r="R5" s="16">
        <v>10.035711476345</v>
      </c>
      <c r="S5" s="16">
        <v>2.06996481059822E-2</v>
      </c>
      <c r="T5" s="16">
        <v>2.7597626604112049E-2</v>
      </c>
      <c r="U5" s="14"/>
      <c r="V5" s="20">
        <v>245</v>
      </c>
      <c r="W5" s="20">
        <v>245</v>
      </c>
      <c r="X5" s="20">
        <v>244</v>
      </c>
      <c r="Y5" s="20">
        <v>246</v>
      </c>
      <c r="Z5" s="20">
        <v>243</v>
      </c>
      <c r="AA5" s="20">
        <v>241</v>
      </c>
      <c r="AB5" s="20">
        <v>239</v>
      </c>
      <c r="AC5" s="20">
        <v>241</v>
      </c>
      <c r="AD5" s="20">
        <v>242</v>
      </c>
      <c r="AE5" s="20">
        <v>242</v>
      </c>
      <c r="AF5" s="20">
        <v>244</v>
      </c>
      <c r="AG5" s="20">
        <v>240</v>
      </c>
      <c r="AH5" s="20">
        <v>241</v>
      </c>
      <c r="AI5" s="20">
        <v>239</v>
      </c>
      <c r="AJ5" s="20">
        <v>243</v>
      </c>
      <c r="AK5" s="20">
        <v>244</v>
      </c>
      <c r="AL5" s="20">
        <v>239</v>
      </c>
      <c r="AM5" s="20">
        <v>240</v>
      </c>
      <c r="AN5" s="20">
        <v>241</v>
      </c>
      <c r="AO5" s="20">
        <v>240</v>
      </c>
      <c r="AP5" s="20">
        <v>243</v>
      </c>
      <c r="AQ5" s="20">
        <v>245</v>
      </c>
      <c r="AR5" s="20">
        <v>243</v>
      </c>
      <c r="AS5" s="20">
        <v>245</v>
      </c>
      <c r="AT5" s="20">
        <v>244</v>
      </c>
      <c r="AU5" s="20">
        <v>245</v>
      </c>
      <c r="AV5" s="20">
        <v>228</v>
      </c>
      <c r="AW5" s="20">
        <v>239</v>
      </c>
      <c r="AX5" s="20">
        <v>243</v>
      </c>
      <c r="AY5" s="20">
        <v>245</v>
      </c>
      <c r="AZ5" s="20">
        <v>244</v>
      </c>
      <c r="BA5" s="20">
        <v>243</v>
      </c>
      <c r="BB5" s="20">
        <v>244</v>
      </c>
      <c r="BC5" s="20">
        <v>242</v>
      </c>
      <c r="BD5" s="20">
        <v>231</v>
      </c>
      <c r="BE5" s="20">
        <v>244</v>
      </c>
      <c r="BF5" s="20">
        <v>240</v>
      </c>
      <c r="BG5" s="20">
        <v>245</v>
      </c>
      <c r="BH5" s="20">
        <v>243</v>
      </c>
      <c r="BI5" s="20">
        <v>244</v>
      </c>
      <c r="BJ5" s="20">
        <v>243</v>
      </c>
      <c r="BK5" s="20">
        <v>237</v>
      </c>
      <c r="BL5" s="20">
        <v>246</v>
      </c>
      <c r="BM5" s="20">
        <v>244</v>
      </c>
      <c r="BN5" s="20">
        <v>245</v>
      </c>
      <c r="BO5" s="20">
        <v>246</v>
      </c>
      <c r="BP5" s="20">
        <v>240</v>
      </c>
      <c r="BQ5" s="20">
        <v>248</v>
      </c>
      <c r="BR5" s="20">
        <v>244</v>
      </c>
      <c r="BS5" s="20">
        <v>243</v>
      </c>
      <c r="BT5" s="20">
        <v>245</v>
      </c>
      <c r="BU5" s="20">
        <v>238</v>
      </c>
      <c r="BV5" s="20">
        <v>234</v>
      </c>
      <c r="BW5" s="20">
        <v>235</v>
      </c>
      <c r="BX5" s="20">
        <v>234</v>
      </c>
      <c r="BY5" s="20">
        <v>232</v>
      </c>
      <c r="BZ5" s="20">
        <v>231</v>
      </c>
      <c r="CA5" s="20">
        <v>242</v>
      </c>
      <c r="CB5" s="20">
        <v>244</v>
      </c>
      <c r="CC5" s="20">
        <v>244</v>
      </c>
    </row>
    <row r="6" spans="1:81" x14ac:dyDescent="0.25">
      <c r="A6" s="13" t="s">
        <v>250</v>
      </c>
      <c r="B6" s="14">
        <v>5</v>
      </c>
      <c r="C6" s="13" t="s">
        <v>251</v>
      </c>
      <c r="D6" s="15">
        <v>14472</v>
      </c>
      <c r="E6" s="16">
        <v>59.994235400000001</v>
      </c>
      <c r="F6" s="17">
        <v>0</v>
      </c>
      <c r="G6" s="13" t="s">
        <v>252</v>
      </c>
      <c r="H6" s="18">
        <v>241.22317591866499</v>
      </c>
      <c r="I6" s="16">
        <v>245.01096424064971</v>
      </c>
      <c r="J6" s="16">
        <v>192.34242491095989</v>
      </c>
      <c r="K6" s="16">
        <v>163.83907725831381</v>
      </c>
      <c r="L6" s="16">
        <v>164.71216549080481</v>
      </c>
      <c r="M6" s="16">
        <v>74.505766001230839</v>
      </c>
      <c r="N6" s="16">
        <v>42.77507581882189</v>
      </c>
      <c r="O6" s="16">
        <v>440.063369125154</v>
      </c>
      <c r="P6" s="19">
        <v>4.1455386539524586</v>
      </c>
      <c r="Q6" s="19">
        <v>0.42205200087592049</v>
      </c>
      <c r="R6" s="16">
        <v>10.180872405411669</v>
      </c>
      <c r="S6" s="16">
        <v>2.7641489876304329E-2</v>
      </c>
      <c r="T6" s="16">
        <v>3.4549474847982313E-2</v>
      </c>
      <c r="U6" s="14"/>
      <c r="V6" s="20">
        <v>244</v>
      </c>
      <c r="W6" s="20">
        <v>238</v>
      </c>
      <c r="X6" s="20">
        <v>234</v>
      </c>
      <c r="Y6" s="20">
        <v>239</v>
      </c>
      <c r="Z6" s="20">
        <v>245</v>
      </c>
      <c r="AA6" s="20">
        <v>242</v>
      </c>
      <c r="AB6" s="20">
        <v>243</v>
      </c>
      <c r="AC6" s="20">
        <v>243</v>
      </c>
      <c r="AD6" s="20">
        <v>243</v>
      </c>
      <c r="AE6" s="20">
        <v>247</v>
      </c>
      <c r="AF6" s="20">
        <v>243</v>
      </c>
      <c r="AG6" s="20">
        <v>242</v>
      </c>
      <c r="AH6" s="20">
        <v>237</v>
      </c>
      <c r="AI6" s="20">
        <v>232</v>
      </c>
      <c r="AJ6" s="20">
        <v>241</v>
      </c>
      <c r="AK6" s="20">
        <v>243</v>
      </c>
      <c r="AL6" s="20">
        <v>242</v>
      </c>
      <c r="AM6" s="20">
        <v>246</v>
      </c>
      <c r="AN6" s="20">
        <v>240</v>
      </c>
      <c r="AO6" s="20">
        <v>244</v>
      </c>
      <c r="AP6" s="20">
        <v>242</v>
      </c>
      <c r="AQ6" s="20">
        <v>236</v>
      </c>
      <c r="AR6" s="20">
        <v>243</v>
      </c>
      <c r="AS6" s="20">
        <v>239</v>
      </c>
      <c r="AT6" s="20">
        <v>241</v>
      </c>
      <c r="AU6" s="20">
        <v>243</v>
      </c>
      <c r="AV6" s="20">
        <v>239</v>
      </c>
      <c r="AW6" s="20">
        <v>236</v>
      </c>
      <c r="AX6" s="20">
        <v>244</v>
      </c>
      <c r="AY6" s="20">
        <v>241</v>
      </c>
      <c r="AZ6" s="20">
        <v>245</v>
      </c>
      <c r="BA6" s="20">
        <v>241</v>
      </c>
      <c r="BB6" s="20">
        <v>245</v>
      </c>
      <c r="BC6" s="20">
        <v>245</v>
      </c>
      <c r="BD6" s="20">
        <v>242</v>
      </c>
      <c r="BE6" s="20">
        <v>242</v>
      </c>
      <c r="BF6" s="20">
        <v>243</v>
      </c>
      <c r="BG6" s="20">
        <v>241</v>
      </c>
      <c r="BH6" s="20">
        <v>241</v>
      </c>
      <c r="BI6" s="20">
        <v>244</v>
      </c>
      <c r="BJ6" s="20">
        <v>243</v>
      </c>
      <c r="BK6" s="20">
        <v>240</v>
      </c>
      <c r="BL6" s="20">
        <v>243</v>
      </c>
      <c r="BM6" s="20">
        <v>241</v>
      </c>
      <c r="BN6" s="20">
        <v>241</v>
      </c>
      <c r="BO6" s="20">
        <v>241</v>
      </c>
      <c r="BP6" s="20">
        <v>241</v>
      </c>
      <c r="BQ6" s="20">
        <v>241</v>
      </c>
      <c r="BR6" s="20">
        <v>242</v>
      </c>
      <c r="BS6" s="20">
        <v>241</v>
      </c>
      <c r="BT6" s="20">
        <v>243</v>
      </c>
      <c r="BU6" s="20">
        <v>236</v>
      </c>
      <c r="BV6" s="20">
        <v>239</v>
      </c>
      <c r="BW6" s="20">
        <v>239</v>
      </c>
      <c r="BX6" s="20">
        <v>240</v>
      </c>
      <c r="BY6" s="20">
        <v>241</v>
      </c>
      <c r="BZ6" s="20">
        <v>242</v>
      </c>
      <c r="CA6" s="20">
        <v>237</v>
      </c>
      <c r="CB6" s="20">
        <v>235</v>
      </c>
      <c r="CC6" s="20">
        <v>245</v>
      </c>
    </row>
    <row r="7" spans="1:81" x14ac:dyDescent="0.25">
      <c r="A7" s="21" t="s">
        <v>253</v>
      </c>
      <c r="B7" s="22">
        <v>1</v>
      </c>
      <c r="C7" s="21" t="s">
        <v>254</v>
      </c>
      <c r="D7" s="23">
        <v>14379</v>
      </c>
      <c r="E7" s="24">
        <v>60.008225999999993</v>
      </c>
      <c r="F7" s="25">
        <v>0</v>
      </c>
      <c r="G7" s="21" t="s">
        <v>252</v>
      </c>
      <c r="H7" s="26">
        <v>239.61714848894221</v>
      </c>
      <c r="I7" s="24">
        <v>243.1965757922128</v>
      </c>
      <c r="J7" s="24">
        <v>189.24440763851001</v>
      </c>
      <c r="K7" s="24">
        <v>166.62815889914509</v>
      </c>
      <c r="L7" s="24">
        <v>168.65361012146539</v>
      </c>
      <c r="M7" s="24">
        <v>90.168073288609961</v>
      </c>
      <c r="N7" s="24">
        <v>38.093932017568918</v>
      </c>
      <c r="O7" s="24">
        <v>422.60068461310908</v>
      </c>
      <c r="P7" s="27">
        <v>4.1733240141873562</v>
      </c>
      <c r="Q7" s="27">
        <v>0.43583163905224198</v>
      </c>
      <c r="R7" s="24">
        <v>10.44327345709601</v>
      </c>
      <c r="S7" s="24">
        <v>2.782028098483795E-2</v>
      </c>
      <c r="T7" s="24">
        <v>2.086375964948884E-2</v>
      </c>
      <c r="U7" s="22"/>
      <c r="V7" s="28">
        <v>233</v>
      </c>
      <c r="W7" s="28">
        <v>233</v>
      </c>
      <c r="X7" s="28">
        <v>242</v>
      </c>
      <c r="Y7" s="28">
        <v>242</v>
      </c>
      <c r="Z7" s="28">
        <v>240</v>
      </c>
      <c r="AA7" s="28">
        <v>241</v>
      </c>
      <c r="AB7" s="28">
        <v>242</v>
      </c>
      <c r="AC7" s="28">
        <v>236</v>
      </c>
      <c r="AD7" s="28">
        <v>239</v>
      </c>
      <c r="AE7" s="28">
        <v>241</v>
      </c>
      <c r="AF7" s="28">
        <v>239</v>
      </c>
      <c r="AG7" s="28">
        <v>239</v>
      </c>
      <c r="AH7" s="28">
        <v>239</v>
      </c>
      <c r="AI7" s="28">
        <v>236</v>
      </c>
      <c r="AJ7" s="28">
        <v>240</v>
      </c>
      <c r="AK7" s="28">
        <v>242</v>
      </c>
      <c r="AL7" s="28">
        <v>241</v>
      </c>
      <c r="AM7" s="28">
        <v>237</v>
      </c>
      <c r="AN7" s="28">
        <v>240</v>
      </c>
      <c r="AO7" s="28">
        <v>240</v>
      </c>
      <c r="AP7" s="28">
        <v>241</v>
      </c>
      <c r="AQ7" s="28">
        <v>239</v>
      </c>
      <c r="AR7" s="28">
        <v>241</v>
      </c>
      <c r="AS7" s="28">
        <v>242</v>
      </c>
      <c r="AT7" s="28">
        <v>242</v>
      </c>
      <c r="AU7" s="28">
        <v>241</v>
      </c>
      <c r="AV7" s="28">
        <v>243</v>
      </c>
      <c r="AW7" s="28">
        <v>235</v>
      </c>
      <c r="AX7" s="28">
        <v>241</v>
      </c>
      <c r="AY7" s="28">
        <v>238</v>
      </c>
      <c r="AZ7" s="28">
        <v>241</v>
      </c>
      <c r="BA7" s="28">
        <v>241</v>
      </c>
      <c r="BB7" s="28">
        <v>241</v>
      </c>
      <c r="BC7" s="28">
        <v>240</v>
      </c>
      <c r="BD7" s="28">
        <v>238</v>
      </c>
      <c r="BE7" s="28">
        <v>241</v>
      </c>
      <c r="BF7" s="28">
        <v>241</v>
      </c>
      <c r="BG7" s="28">
        <v>234</v>
      </c>
      <c r="BH7" s="28">
        <v>242</v>
      </c>
      <c r="BI7" s="28">
        <v>240</v>
      </c>
      <c r="BJ7" s="28">
        <v>239</v>
      </c>
      <c r="BK7" s="28">
        <v>239</v>
      </c>
      <c r="BL7" s="28">
        <v>239</v>
      </c>
      <c r="BM7" s="28">
        <v>231</v>
      </c>
      <c r="BN7" s="28">
        <v>241</v>
      </c>
      <c r="BO7" s="28">
        <v>241</v>
      </c>
      <c r="BP7" s="28">
        <v>242</v>
      </c>
      <c r="BQ7" s="28">
        <v>239</v>
      </c>
      <c r="BR7" s="28">
        <v>242</v>
      </c>
      <c r="BS7" s="28">
        <v>243</v>
      </c>
      <c r="BT7" s="28">
        <v>244</v>
      </c>
      <c r="BU7" s="28">
        <v>240</v>
      </c>
      <c r="BV7" s="28">
        <v>240</v>
      </c>
      <c r="BW7" s="28">
        <v>240</v>
      </c>
      <c r="BX7" s="28">
        <v>241</v>
      </c>
      <c r="BY7" s="28">
        <v>239</v>
      </c>
      <c r="BZ7" s="28">
        <v>242</v>
      </c>
      <c r="CA7" s="28">
        <v>235</v>
      </c>
      <c r="CB7" s="28">
        <v>244</v>
      </c>
      <c r="CC7" s="28">
        <v>232</v>
      </c>
    </row>
    <row r="8" spans="1:81" x14ac:dyDescent="0.25">
      <c r="A8" s="21" t="s">
        <v>253</v>
      </c>
      <c r="B8" s="22">
        <v>2</v>
      </c>
      <c r="C8" s="21" t="s">
        <v>254</v>
      </c>
      <c r="D8" s="23">
        <v>14437</v>
      </c>
      <c r="E8" s="24">
        <v>59.992049199999997</v>
      </c>
      <c r="F8" s="25">
        <v>0</v>
      </c>
      <c r="G8" s="21" t="s">
        <v>252</v>
      </c>
      <c r="H8" s="26">
        <v>240.6485558089588</v>
      </c>
      <c r="I8" s="24">
        <v>243.80729471425781</v>
      </c>
      <c r="J8" s="24">
        <v>190.37190293469709</v>
      </c>
      <c r="K8" s="24">
        <v>166.26410800835481</v>
      </c>
      <c r="L8" s="24">
        <v>165.34845367779599</v>
      </c>
      <c r="M8" s="24">
        <v>77.118840132644394</v>
      </c>
      <c r="N8" s="24">
        <v>37.45907595951423</v>
      </c>
      <c r="O8" s="24">
        <v>494.21765345458141</v>
      </c>
      <c r="P8" s="27">
        <v>4.1554373623328944</v>
      </c>
      <c r="Q8" s="27">
        <v>0.42744606393462431</v>
      </c>
      <c r="R8" s="24">
        <v>10.28642779720912</v>
      </c>
      <c r="S8" s="24">
        <v>3.4635633139373789E-2</v>
      </c>
      <c r="T8" s="24">
        <v>2.7706587241116579E-2</v>
      </c>
      <c r="U8" s="22"/>
      <c r="V8" s="28">
        <v>241</v>
      </c>
      <c r="W8" s="28">
        <v>243</v>
      </c>
      <c r="X8" s="28">
        <v>241</v>
      </c>
      <c r="Y8" s="28">
        <v>239</v>
      </c>
      <c r="Z8" s="28">
        <v>242</v>
      </c>
      <c r="AA8" s="28">
        <v>243</v>
      </c>
      <c r="AB8" s="28">
        <v>244</v>
      </c>
      <c r="AC8" s="28">
        <v>241</v>
      </c>
      <c r="AD8" s="28">
        <v>242</v>
      </c>
      <c r="AE8" s="28">
        <v>240</v>
      </c>
      <c r="AF8" s="28">
        <v>240</v>
      </c>
      <c r="AG8" s="28">
        <v>239</v>
      </c>
      <c r="AH8" s="28">
        <v>241</v>
      </c>
      <c r="AI8" s="28">
        <v>237</v>
      </c>
      <c r="AJ8" s="28">
        <v>242</v>
      </c>
      <c r="AK8" s="28">
        <v>243</v>
      </c>
      <c r="AL8" s="28">
        <v>240</v>
      </c>
      <c r="AM8" s="28">
        <v>235</v>
      </c>
      <c r="AN8" s="28">
        <v>240</v>
      </c>
      <c r="AO8" s="28">
        <v>241</v>
      </c>
      <c r="AP8" s="28">
        <v>238</v>
      </c>
      <c r="AQ8" s="28">
        <v>239</v>
      </c>
      <c r="AR8" s="28">
        <v>241</v>
      </c>
      <c r="AS8" s="28">
        <v>238</v>
      </c>
      <c r="AT8" s="28">
        <v>241</v>
      </c>
      <c r="AU8" s="28">
        <v>239</v>
      </c>
      <c r="AV8" s="28">
        <v>236</v>
      </c>
      <c r="AW8" s="28">
        <v>237</v>
      </c>
      <c r="AX8" s="28">
        <v>240</v>
      </c>
      <c r="AY8" s="28">
        <v>236</v>
      </c>
      <c r="AZ8" s="28">
        <v>233</v>
      </c>
      <c r="BA8" s="28">
        <v>243</v>
      </c>
      <c r="BB8" s="28">
        <v>235</v>
      </c>
      <c r="BC8" s="28">
        <v>240</v>
      </c>
      <c r="BD8" s="28">
        <v>239</v>
      </c>
      <c r="BE8" s="28">
        <v>242</v>
      </c>
      <c r="BF8" s="28">
        <v>242</v>
      </c>
      <c r="BG8" s="28">
        <v>241</v>
      </c>
      <c r="BH8" s="28">
        <v>242</v>
      </c>
      <c r="BI8" s="28">
        <v>242</v>
      </c>
      <c r="BJ8" s="28">
        <v>243</v>
      </c>
      <c r="BK8" s="28">
        <v>243</v>
      </c>
      <c r="BL8" s="28">
        <v>243</v>
      </c>
      <c r="BM8" s="28">
        <v>240</v>
      </c>
      <c r="BN8" s="28">
        <v>243</v>
      </c>
      <c r="BO8" s="28">
        <v>235</v>
      </c>
      <c r="BP8" s="28">
        <v>243</v>
      </c>
      <c r="BQ8" s="28">
        <v>244</v>
      </c>
      <c r="BR8" s="28">
        <v>245</v>
      </c>
      <c r="BS8" s="28">
        <v>243</v>
      </c>
      <c r="BT8" s="28">
        <v>243</v>
      </c>
      <c r="BU8" s="28">
        <v>243</v>
      </c>
      <c r="BV8" s="28">
        <v>243</v>
      </c>
      <c r="BW8" s="28">
        <v>236</v>
      </c>
      <c r="BX8" s="28">
        <v>242</v>
      </c>
      <c r="BY8" s="28">
        <v>243</v>
      </c>
      <c r="BZ8" s="28">
        <v>242</v>
      </c>
      <c r="CA8" s="28">
        <v>244</v>
      </c>
      <c r="CB8" s="28">
        <v>241</v>
      </c>
      <c r="CC8" s="28">
        <v>240</v>
      </c>
    </row>
    <row r="9" spans="1:81" x14ac:dyDescent="0.25">
      <c r="A9" s="21" t="s">
        <v>253</v>
      </c>
      <c r="B9" s="22">
        <v>3</v>
      </c>
      <c r="C9" s="21" t="s">
        <v>254</v>
      </c>
      <c r="D9" s="23">
        <v>14537</v>
      </c>
      <c r="E9" s="24">
        <v>59.993774100000003</v>
      </c>
      <c r="F9" s="25">
        <v>0</v>
      </c>
      <c r="G9" s="21" t="s">
        <v>252</v>
      </c>
      <c r="H9" s="26">
        <v>242.30847647239449</v>
      </c>
      <c r="I9" s="24">
        <v>245.0800186260814</v>
      </c>
      <c r="J9" s="24">
        <v>193.4852734488673</v>
      </c>
      <c r="K9" s="24">
        <v>175.2874679416737</v>
      </c>
      <c r="L9" s="24">
        <v>174.9253360357354</v>
      </c>
      <c r="M9" s="24">
        <v>94.888063714171849</v>
      </c>
      <c r="N9" s="24">
        <v>42.084530988944387</v>
      </c>
      <c r="O9" s="24">
        <v>399.02637564343001</v>
      </c>
      <c r="P9" s="27">
        <v>4.1269707711357224</v>
      </c>
      <c r="Q9" s="27">
        <v>0.39493940184757231</v>
      </c>
      <c r="R9" s="24">
        <v>9.5697164760604032</v>
      </c>
      <c r="S9" s="24">
        <v>2.7517886626307098E-2</v>
      </c>
      <c r="T9" s="24">
        <v>1.375799683566073E-2</v>
      </c>
      <c r="U9" s="22"/>
      <c r="V9" s="28">
        <v>243</v>
      </c>
      <c r="W9" s="28">
        <v>246</v>
      </c>
      <c r="X9" s="28">
        <v>242</v>
      </c>
      <c r="Y9" s="28">
        <v>243</v>
      </c>
      <c r="Z9" s="28">
        <v>243</v>
      </c>
      <c r="AA9" s="28">
        <v>245</v>
      </c>
      <c r="AB9" s="28">
        <v>243</v>
      </c>
      <c r="AC9" s="28">
        <v>242</v>
      </c>
      <c r="AD9" s="28">
        <v>238</v>
      </c>
      <c r="AE9" s="28">
        <v>242</v>
      </c>
      <c r="AF9" s="28">
        <v>245</v>
      </c>
      <c r="AG9" s="28">
        <v>243</v>
      </c>
      <c r="AH9" s="28">
        <v>242</v>
      </c>
      <c r="AI9" s="28">
        <v>244</v>
      </c>
      <c r="AJ9" s="28">
        <v>244</v>
      </c>
      <c r="AK9" s="28">
        <v>241</v>
      </c>
      <c r="AL9" s="28">
        <v>233</v>
      </c>
      <c r="AM9" s="28">
        <v>243</v>
      </c>
      <c r="AN9" s="28">
        <v>240</v>
      </c>
      <c r="AO9" s="28">
        <v>243</v>
      </c>
      <c r="AP9" s="28">
        <v>243</v>
      </c>
      <c r="AQ9" s="28">
        <v>245</v>
      </c>
      <c r="AR9" s="28">
        <v>244</v>
      </c>
      <c r="AS9" s="28">
        <v>243</v>
      </c>
      <c r="AT9" s="28">
        <v>242</v>
      </c>
      <c r="AU9" s="28">
        <v>243</v>
      </c>
      <c r="AV9" s="28">
        <v>243</v>
      </c>
      <c r="AW9" s="28">
        <v>243</v>
      </c>
      <c r="AX9" s="28">
        <v>239</v>
      </c>
      <c r="AY9" s="28">
        <v>243</v>
      </c>
      <c r="AZ9" s="28">
        <v>244</v>
      </c>
      <c r="BA9" s="28">
        <v>245</v>
      </c>
      <c r="BB9" s="28">
        <v>237</v>
      </c>
      <c r="BC9" s="28">
        <v>243</v>
      </c>
      <c r="BD9" s="28">
        <v>243</v>
      </c>
      <c r="BE9" s="28">
        <v>243</v>
      </c>
      <c r="BF9" s="28">
        <v>243</v>
      </c>
      <c r="BG9" s="28">
        <v>241</v>
      </c>
      <c r="BH9" s="28">
        <v>238</v>
      </c>
      <c r="BI9" s="28">
        <v>243</v>
      </c>
      <c r="BJ9" s="28">
        <v>243</v>
      </c>
      <c r="BK9" s="28">
        <v>242</v>
      </c>
      <c r="BL9" s="28">
        <v>241</v>
      </c>
      <c r="BM9" s="28">
        <v>242</v>
      </c>
      <c r="BN9" s="28">
        <v>239</v>
      </c>
      <c r="BO9" s="28">
        <v>241</v>
      </c>
      <c r="BP9" s="28">
        <v>244</v>
      </c>
      <c r="BQ9" s="28">
        <v>245</v>
      </c>
      <c r="BR9" s="28">
        <v>241</v>
      </c>
      <c r="BS9" s="28">
        <v>243</v>
      </c>
      <c r="BT9" s="28">
        <v>246</v>
      </c>
      <c r="BU9" s="28">
        <v>244</v>
      </c>
      <c r="BV9" s="28">
        <v>243</v>
      </c>
      <c r="BW9" s="28">
        <v>242</v>
      </c>
      <c r="BX9" s="28">
        <v>243</v>
      </c>
      <c r="BY9" s="28">
        <v>242</v>
      </c>
      <c r="BZ9" s="28">
        <v>244</v>
      </c>
      <c r="CA9" s="28">
        <v>242</v>
      </c>
      <c r="CB9" s="28">
        <v>238</v>
      </c>
      <c r="CC9" s="28">
        <v>239</v>
      </c>
    </row>
    <row r="10" spans="1:81" x14ac:dyDescent="0.25">
      <c r="A10" s="21" t="s">
        <v>253</v>
      </c>
      <c r="B10" s="22">
        <v>4</v>
      </c>
      <c r="C10" s="21" t="s">
        <v>254</v>
      </c>
      <c r="D10" s="23">
        <v>14493</v>
      </c>
      <c r="E10" s="24">
        <v>59.996426100000001</v>
      </c>
      <c r="F10" s="25">
        <v>0</v>
      </c>
      <c r="G10" s="21" t="s">
        <v>252</v>
      </c>
      <c r="H10" s="26">
        <v>241.56438878281779</v>
      </c>
      <c r="I10" s="24">
        <v>244.5705341420466</v>
      </c>
      <c r="J10" s="24">
        <v>191.16043560110779</v>
      </c>
      <c r="K10" s="24">
        <v>172.22668365877999</v>
      </c>
      <c r="L10" s="24">
        <v>172.97193729900329</v>
      </c>
      <c r="M10" s="24">
        <v>106.172569861551</v>
      </c>
      <c r="N10" s="24">
        <v>44.944022220324577</v>
      </c>
      <c r="O10" s="24">
        <v>396.93565673004412</v>
      </c>
      <c r="P10" s="27">
        <v>4.1396830262885533</v>
      </c>
      <c r="Q10" s="27">
        <v>0.40300924903076107</v>
      </c>
      <c r="R10" s="24">
        <v>9.7352682915938242</v>
      </c>
      <c r="S10" s="24">
        <v>1.3800717637317141E-2</v>
      </c>
      <c r="T10" s="24">
        <v>1.379976540398813E-2</v>
      </c>
      <c r="U10" s="22"/>
      <c r="V10" s="28">
        <v>243</v>
      </c>
      <c r="W10" s="28">
        <v>240</v>
      </c>
      <c r="X10" s="28">
        <v>237</v>
      </c>
      <c r="Y10" s="28">
        <v>239</v>
      </c>
      <c r="Z10" s="28">
        <v>232</v>
      </c>
      <c r="AA10" s="28">
        <v>239</v>
      </c>
      <c r="AB10" s="28">
        <v>243</v>
      </c>
      <c r="AC10" s="28">
        <v>241</v>
      </c>
      <c r="AD10" s="28">
        <v>239</v>
      </c>
      <c r="AE10" s="28">
        <v>241</v>
      </c>
      <c r="AF10" s="28">
        <v>241</v>
      </c>
      <c r="AG10" s="28">
        <v>242</v>
      </c>
      <c r="AH10" s="28">
        <v>245</v>
      </c>
      <c r="AI10" s="28">
        <v>242</v>
      </c>
      <c r="AJ10" s="28">
        <v>240</v>
      </c>
      <c r="AK10" s="28">
        <v>240</v>
      </c>
      <c r="AL10" s="28">
        <v>241</v>
      </c>
      <c r="AM10" s="28">
        <v>241</v>
      </c>
      <c r="AN10" s="28">
        <v>237</v>
      </c>
      <c r="AO10" s="28">
        <v>243</v>
      </c>
      <c r="AP10" s="28">
        <v>245</v>
      </c>
      <c r="AQ10" s="28">
        <v>244</v>
      </c>
      <c r="AR10" s="28">
        <v>243</v>
      </c>
      <c r="AS10" s="28">
        <v>241</v>
      </c>
      <c r="AT10" s="28">
        <v>238</v>
      </c>
      <c r="AU10" s="28">
        <v>244</v>
      </c>
      <c r="AV10" s="28">
        <v>240</v>
      </c>
      <c r="AW10" s="28">
        <v>241</v>
      </c>
      <c r="AX10" s="28">
        <v>244</v>
      </c>
      <c r="AY10" s="28">
        <v>240</v>
      </c>
      <c r="AZ10" s="28">
        <v>242</v>
      </c>
      <c r="BA10" s="28">
        <v>243</v>
      </c>
      <c r="BB10" s="28">
        <v>243</v>
      </c>
      <c r="BC10" s="28">
        <v>244</v>
      </c>
      <c r="BD10" s="28">
        <v>235</v>
      </c>
      <c r="BE10" s="28">
        <v>243</v>
      </c>
      <c r="BF10" s="28">
        <v>246</v>
      </c>
      <c r="BG10" s="28">
        <v>244</v>
      </c>
      <c r="BH10" s="28">
        <v>243</v>
      </c>
      <c r="BI10" s="28">
        <v>242</v>
      </c>
      <c r="BJ10" s="28">
        <v>244</v>
      </c>
      <c r="BK10" s="28">
        <v>243</v>
      </c>
      <c r="BL10" s="28">
        <v>242</v>
      </c>
      <c r="BM10" s="28">
        <v>244</v>
      </c>
      <c r="BN10" s="28">
        <v>240</v>
      </c>
      <c r="BO10" s="28">
        <v>242</v>
      </c>
      <c r="BP10" s="28">
        <v>244</v>
      </c>
      <c r="BQ10" s="28">
        <v>243</v>
      </c>
      <c r="BR10" s="28">
        <v>244</v>
      </c>
      <c r="BS10" s="28">
        <v>243</v>
      </c>
      <c r="BT10" s="28">
        <v>244</v>
      </c>
      <c r="BU10" s="28">
        <v>243</v>
      </c>
      <c r="BV10" s="28">
        <v>243</v>
      </c>
      <c r="BW10" s="28">
        <v>242</v>
      </c>
      <c r="BX10" s="28">
        <v>235</v>
      </c>
      <c r="BY10" s="28">
        <v>246</v>
      </c>
      <c r="BZ10" s="28">
        <v>240</v>
      </c>
      <c r="CA10" s="28">
        <v>239</v>
      </c>
      <c r="CB10" s="28">
        <v>240</v>
      </c>
      <c r="CC10" s="28">
        <v>241</v>
      </c>
    </row>
    <row r="11" spans="1:81" x14ac:dyDescent="0.25">
      <c r="A11" s="21" t="s">
        <v>253</v>
      </c>
      <c r="B11" s="22">
        <v>5</v>
      </c>
      <c r="C11" s="21" t="s">
        <v>254</v>
      </c>
      <c r="D11" s="23">
        <v>14392</v>
      </c>
      <c r="E11" s="24">
        <v>59.9875112</v>
      </c>
      <c r="F11" s="25">
        <v>0</v>
      </c>
      <c r="G11" s="21" t="s">
        <v>252</v>
      </c>
      <c r="H11" s="26">
        <v>239.91660450817301</v>
      </c>
      <c r="I11" s="24">
        <v>243.17292026359939</v>
      </c>
      <c r="J11" s="24">
        <v>189.2141501153165</v>
      </c>
      <c r="K11" s="24">
        <v>168.56194628770069</v>
      </c>
      <c r="L11" s="24">
        <v>168.55302843522639</v>
      </c>
      <c r="M11" s="24">
        <v>93.831369390643445</v>
      </c>
      <c r="N11" s="24">
        <v>45.57511234265192</v>
      </c>
      <c r="O11" s="24">
        <v>507.45965695727187</v>
      </c>
      <c r="P11" s="27">
        <v>4.1681150083379652</v>
      </c>
      <c r="Q11" s="27">
        <v>0.42080408887902032</v>
      </c>
      <c r="R11" s="24">
        <v>10.095788816701001</v>
      </c>
      <c r="S11" s="24">
        <v>3.4743937182961572E-2</v>
      </c>
      <c r="T11" s="24">
        <v>2.0844913841022789E-2</v>
      </c>
      <c r="U11" s="22"/>
      <c r="V11" s="28">
        <v>241</v>
      </c>
      <c r="W11" s="28">
        <v>241</v>
      </c>
      <c r="X11" s="28">
        <v>243</v>
      </c>
      <c r="Y11" s="28">
        <v>242</v>
      </c>
      <c r="Z11" s="28">
        <v>241</v>
      </c>
      <c r="AA11" s="28">
        <v>237</v>
      </c>
      <c r="AB11" s="28">
        <v>244</v>
      </c>
      <c r="AC11" s="28">
        <v>241</v>
      </c>
      <c r="AD11" s="28">
        <v>243</v>
      </c>
      <c r="AE11" s="28">
        <v>239</v>
      </c>
      <c r="AF11" s="28">
        <v>241</v>
      </c>
      <c r="AG11" s="28">
        <v>240</v>
      </c>
      <c r="AH11" s="28">
        <v>240</v>
      </c>
      <c r="AI11" s="28">
        <v>238</v>
      </c>
      <c r="AJ11" s="28">
        <v>231</v>
      </c>
      <c r="AK11" s="28">
        <v>232</v>
      </c>
      <c r="AL11" s="28">
        <v>231</v>
      </c>
      <c r="AM11" s="28">
        <v>235</v>
      </c>
      <c r="AN11" s="28">
        <v>233</v>
      </c>
      <c r="AO11" s="28">
        <v>232</v>
      </c>
      <c r="AP11" s="28">
        <v>243</v>
      </c>
      <c r="AQ11" s="28">
        <v>238</v>
      </c>
      <c r="AR11" s="28">
        <v>242</v>
      </c>
      <c r="AS11" s="28">
        <v>241</v>
      </c>
      <c r="AT11" s="28">
        <v>242</v>
      </c>
      <c r="AU11" s="28">
        <v>242</v>
      </c>
      <c r="AV11" s="28">
        <v>244</v>
      </c>
      <c r="AW11" s="28">
        <v>242</v>
      </c>
      <c r="AX11" s="28">
        <v>239</v>
      </c>
      <c r="AY11" s="28">
        <v>238</v>
      </c>
      <c r="AZ11" s="28">
        <v>240</v>
      </c>
      <c r="BA11" s="28">
        <v>241</v>
      </c>
      <c r="BB11" s="28">
        <v>240</v>
      </c>
      <c r="BC11" s="28">
        <v>236</v>
      </c>
      <c r="BD11" s="28">
        <v>240</v>
      </c>
      <c r="BE11" s="28">
        <v>242</v>
      </c>
      <c r="BF11" s="28">
        <v>241</v>
      </c>
      <c r="BG11" s="28">
        <v>241</v>
      </c>
      <c r="BH11" s="28">
        <v>240</v>
      </c>
      <c r="BI11" s="28">
        <v>237</v>
      </c>
      <c r="BJ11" s="28">
        <v>240</v>
      </c>
      <c r="BK11" s="28">
        <v>238</v>
      </c>
      <c r="BL11" s="28">
        <v>242</v>
      </c>
      <c r="BM11" s="28">
        <v>241</v>
      </c>
      <c r="BN11" s="28">
        <v>244</v>
      </c>
      <c r="BO11" s="28">
        <v>242</v>
      </c>
      <c r="BP11" s="28">
        <v>241</v>
      </c>
      <c r="BQ11" s="28">
        <v>242</v>
      </c>
      <c r="BR11" s="28">
        <v>242</v>
      </c>
      <c r="BS11" s="28">
        <v>239</v>
      </c>
      <c r="BT11" s="28">
        <v>231</v>
      </c>
      <c r="BU11" s="28">
        <v>241</v>
      </c>
      <c r="BV11" s="28">
        <v>245</v>
      </c>
      <c r="BW11" s="28">
        <v>241</v>
      </c>
      <c r="BX11" s="28">
        <v>241</v>
      </c>
      <c r="BY11" s="28">
        <v>245</v>
      </c>
      <c r="BZ11" s="28">
        <v>243</v>
      </c>
      <c r="CA11" s="28">
        <v>242</v>
      </c>
      <c r="CB11" s="28">
        <v>243</v>
      </c>
      <c r="CC11" s="28">
        <v>235</v>
      </c>
    </row>
    <row r="12" spans="1:81" x14ac:dyDescent="0.25">
      <c r="A12" s="13" t="s">
        <v>255</v>
      </c>
      <c r="B12" s="14">
        <v>1</v>
      </c>
      <c r="C12" s="13" t="s">
        <v>256</v>
      </c>
      <c r="D12" s="15">
        <v>14347</v>
      </c>
      <c r="E12" s="16">
        <v>60.008808799999997</v>
      </c>
      <c r="F12" s="17">
        <v>0</v>
      </c>
      <c r="G12" s="13" t="s">
        <v>252</v>
      </c>
      <c r="H12" s="18">
        <v>239.08156630497891</v>
      </c>
      <c r="I12" s="16">
        <v>242.9189136666181</v>
      </c>
      <c r="J12" s="16">
        <v>186.44534858008819</v>
      </c>
      <c r="K12" s="16">
        <v>165.81655283636539</v>
      </c>
      <c r="L12" s="16">
        <v>162.68009142621131</v>
      </c>
      <c r="M12" s="16">
        <v>76.910297981258495</v>
      </c>
      <c r="N12" s="16">
        <v>40.049982378007748</v>
      </c>
      <c r="O12" s="16">
        <v>406.23984400389992</v>
      </c>
      <c r="P12" s="19">
        <v>4.1826729490485812</v>
      </c>
      <c r="Q12" s="19">
        <v>0.44749563680206839</v>
      </c>
      <c r="R12" s="16">
        <v>10.69879577612825</v>
      </c>
      <c r="S12" s="16">
        <v>2.788233653980204E-2</v>
      </c>
      <c r="T12" s="16">
        <v>3.4850491391928633E-2</v>
      </c>
      <c r="U12" s="14"/>
      <c r="V12" s="20">
        <v>242</v>
      </c>
      <c r="W12" s="20">
        <v>244</v>
      </c>
      <c r="X12" s="20">
        <v>241</v>
      </c>
      <c r="Y12" s="20">
        <v>242</v>
      </c>
      <c r="Z12" s="20">
        <v>234</v>
      </c>
      <c r="AA12" s="20">
        <v>237</v>
      </c>
      <c r="AB12" s="20">
        <v>242</v>
      </c>
      <c r="AC12" s="20">
        <v>239</v>
      </c>
      <c r="AD12" s="20">
        <v>240</v>
      </c>
      <c r="AE12" s="20">
        <v>243</v>
      </c>
      <c r="AF12" s="20">
        <v>238</v>
      </c>
      <c r="AG12" s="20">
        <v>239</v>
      </c>
      <c r="AH12" s="20">
        <v>237</v>
      </c>
      <c r="AI12" s="20">
        <v>230</v>
      </c>
      <c r="AJ12" s="20">
        <v>234</v>
      </c>
      <c r="AK12" s="20">
        <v>239</v>
      </c>
      <c r="AL12" s="20">
        <v>241</v>
      </c>
      <c r="AM12" s="20">
        <v>243</v>
      </c>
      <c r="AN12" s="20">
        <v>240</v>
      </c>
      <c r="AO12" s="20">
        <v>239</v>
      </c>
      <c r="AP12" s="20">
        <v>238</v>
      </c>
      <c r="AQ12" s="20">
        <v>239</v>
      </c>
      <c r="AR12" s="20">
        <v>242</v>
      </c>
      <c r="AS12" s="20">
        <v>238</v>
      </c>
      <c r="AT12" s="20">
        <v>231</v>
      </c>
      <c r="AU12" s="20">
        <v>242</v>
      </c>
      <c r="AV12" s="20">
        <v>241</v>
      </c>
      <c r="AW12" s="20">
        <v>241</v>
      </c>
      <c r="AX12" s="20">
        <v>238</v>
      </c>
      <c r="AY12" s="20">
        <v>239</v>
      </c>
      <c r="AZ12" s="20">
        <v>240</v>
      </c>
      <c r="BA12" s="20">
        <v>242</v>
      </c>
      <c r="BB12" s="20">
        <v>243</v>
      </c>
      <c r="BC12" s="20">
        <v>240</v>
      </c>
      <c r="BD12" s="20">
        <v>237</v>
      </c>
      <c r="BE12" s="20">
        <v>241</v>
      </c>
      <c r="BF12" s="20">
        <v>241</v>
      </c>
      <c r="BG12" s="20">
        <v>240</v>
      </c>
      <c r="BH12" s="20">
        <v>240</v>
      </c>
      <c r="BI12" s="20">
        <v>240</v>
      </c>
      <c r="BJ12" s="20">
        <v>241</v>
      </c>
      <c r="BK12" s="20">
        <v>240</v>
      </c>
      <c r="BL12" s="20">
        <v>242</v>
      </c>
      <c r="BM12" s="20">
        <v>239</v>
      </c>
      <c r="BN12" s="20">
        <v>237</v>
      </c>
      <c r="BO12" s="20">
        <v>240</v>
      </c>
      <c r="BP12" s="20">
        <v>241</v>
      </c>
      <c r="BQ12" s="20">
        <v>238</v>
      </c>
      <c r="BR12" s="20">
        <v>240</v>
      </c>
      <c r="BS12" s="20">
        <v>240</v>
      </c>
      <c r="BT12" s="20">
        <v>240</v>
      </c>
      <c r="BU12" s="20">
        <v>240</v>
      </c>
      <c r="BV12" s="20">
        <v>237</v>
      </c>
      <c r="BW12" s="20">
        <v>234</v>
      </c>
      <c r="BX12" s="20">
        <v>235</v>
      </c>
      <c r="BY12" s="20">
        <v>239</v>
      </c>
      <c r="BZ12" s="20">
        <v>239</v>
      </c>
      <c r="CA12" s="20">
        <v>241</v>
      </c>
      <c r="CB12" s="20">
        <v>237</v>
      </c>
      <c r="CC12" s="20">
        <v>228</v>
      </c>
    </row>
    <row r="13" spans="1:81" x14ac:dyDescent="0.25">
      <c r="A13" s="13" t="s">
        <v>255</v>
      </c>
      <c r="B13" s="14">
        <v>2</v>
      </c>
      <c r="C13" s="13" t="s">
        <v>256</v>
      </c>
      <c r="D13" s="15">
        <v>14355</v>
      </c>
      <c r="E13" s="16">
        <v>60.009017100000001</v>
      </c>
      <c r="F13" s="17">
        <v>0</v>
      </c>
      <c r="G13" s="13" t="s">
        <v>252</v>
      </c>
      <c r="H13" s="18">
        <v>239.21404971653831</v>
      </c>
      <c r="I13" s="16">
        <v>243.1315341599805</v>
      </c>
      <c r="J13" s="16">
        <v>187.64134083998789</v>
      </c>
      <c r="K13" s="16">
        <v>166.34468988492321</v>
      </c>
      <c r="L13" s="16">
        <v>168.12320734468699</v>
      </c>
      <c r="M13" s="16">
        <v>93.571045375718938</v>
      </c>
      <c r="N13" s="16">
        <v>38.794424465315842</v>
      </c>
      <c r="O13" s="16">
        <v>340.79678287836958</v>
      </c>
      <c r="P13" s="19">
        <v>4.1803564681295722</v>
      </c>
      <c r="Q13" s="19">
        <v>0.44246483632495542</v>
      </c>
      <c r="R13" s="16">
        <v>10.58438053544579</v>
      </c>
      <c r="S13" s="16">
        <v>1.3933398355858989E-2</v>
      </c>
      <c r="T13" s="16">
        <v>1.3932427725531171E-2</v>
      </c>
      <c r="U13" s="14"/>
      <c r="V13" s="20">
        <v>241</v>
      </c>
      <c r="W13" s="20">
        <v>241</v>
      </c>
      <c r="X13" s="20">
        <v>239</v>
      </c>
      <c r="Y13" s="20">
        <v>238</v>
      </c>
      <c r="Z13" s="20">
        <v>239</v>
      </c>
      <c r="AA13" s="20">
        <v>236</v>
      </c>
      <c r="AB13" s="20">
        <v>242</v>
      </c>
      <c r="AC13" s="20">
        <v>239</v>
      </c>
      <c r="AD13" s="20">
        <v>238</v>
      </c>
      <c r="AE13" s="20">
        <v>237</v>
      </c>
      <c r="AF13" s="20">
        <v>240</v>
      </c>
      <c r="AG13" s="20">
        <v>235</v>
      </c>
      <c r="AH13" s="20">
        <v>240</v>
      </c>
      <c r="AI13" s="20">
        <v>238</v>
      </c>
      <c r="AJ13" s="20">
        <v>242</v>
      </c>
      <c r="AK13" s="20">
        <v>240</v>
      </c>
      <c r="AL13" s="20">
        <v>240</v>
      </c>
      <c r="AM13" s="20">
        <v>241</v>
      </c>
      <c r="AN13" s="20">
        <v>239</v>
      </c>
      <c r="AO13" s="20">
        <v>236</v>
      </c>
      <c r="AP13" s="20">
        <v>242</v>
      </c>
      <c r="AQ13" s="20">
        <v>238</v>
      </c>
      <c r="AR13" s="20">
        <v>242</v>
      </c>
      <c r="AS13" s="20">
        <v>239</v>
      </c>
      <c r="AT13" s="20">
        <v>239</v>
      </c>
      <c r="AU13" s="20">
        <v>235</v>
      </c>
      <c r="AV13" s="20">
        <v>234</v>
      </c>
      <c r="AW13" s="20">
        <v>240</v>
      </c>
      <c r="AX13" s="20">
        <v>240</v>
      </c>
      <c r="AY13" s="20">
        <v>235</v>
      </c>
      <c r="AZ13" s="20">
        <v>236</v>
      </c>
      <c r="BA13" s="20">
        <v>241</v>
      </c>
      <c r="BB13" s="20">
        <v>239</v>
      </c>
      <c r="BC13" s="20">
        <v>240</v>
      </c>
      <c r="BD13" s="20">
        <v>238</v>
      </c>
      <c r="BE13" s="20">
        <v>239</v>
      </c>
      <c r="BF13" s="20">
        <v>238</v>
      </c>
      <c r="BG13" s="20">
        <v>240</v>
      </c>
      <c r="BH13" s="20">
        <v>240</v>
      </c>
      <c r="BI13" s="20">
        <v>237</v>
      </c>
      <c r="BJ13" s="20">
        <v>239</v>
      </c>
      <c r="BK13" s="20">
        <v>240</v>
      </c>
      <c r="BL13" s="20">
        <v>239</v>
      </c>
      <c r="BM13" s="20">
        <v>241</v>
      </c>
      <c r="BN13" s="20">
        <v>242</v>
      </c>
      <c r="BO13" s="20">
        <v>234</v>
      </c>
      <c r="BP13" s="20">
        <v>236</v>
      </c>
      <c r="BQ13" s="20">
        <v>241</v>
      </c>
      <c r="BR13" s="20">
        <v>242</v>
      </c>
      <c r="BS13" s="20">
        <v>237</v>
      </c>
      <c r="BT13" s="20">
        <v>239</v>
      </c>
      <c r="BU13" s="20">
        <v>241</v>
      </c>
      <c r="BV13" s="20">
        <v>240</v>
      </c>
      <c r="BW13" s="20">
        <v>240</v>
      </c>
      <c r="BX13" s="20">
        <v>242</v>
      </c>
      <c r="BY13" s="20">
        <v>242</v>
      </c>
      <c r="BZ13" s="20">
        <v>241</v>
      </c>
      <c r="CA13" s="20">
        <v>244</v>
      </c>
      <c r="CB13" s="20">
        <v>242</v>
      </c>
      <c r="CC13" s="20">
        <v>238</v>
      </c>
    </row>
    <row r="14" spans="1:81" x14ac:dyDescent="0.25">
      <c r="A14" s="13" t="s">
        <v>255</v>
      </c>
      <c r="B14" s="14">
        <v>3</v>
      </c>
      <c r="C14" s="13" t="s">
        <v>256</v>
      </c>
      <c r="D14" s="15">
        <v>14326</v>
      </c>
      <c r="E14" s="16">
        <v>59.983596400000003</v>
      </c>
      <c r="F14" s="17">
        <v>0</v>
      </c>
      <c r="G14" s="13" t="s">
        <v>252</v>
      </c>
      <c r="H14" s="18">
        <v>238.8319617327914</v>
      </c>
      <c r="I14" s="16">
        <v>242.67427046047439</v>
      </c>
      <c r="J14" s="16">
        <v>187.4669003754025</v>
      </c>
      <c r="K14" s="16">
        <v>166.212076637064</v>
      </c>
      <c r="L14" s="16">
        <v>167.3410566477643</v>
      </c>
      <c r="M14" s="16">
        <v>91.048560749875946</v>
      </c>
      <c r="N14" s="16">
        <v>42.297248141035944</v>
      </c>
      <c r="O14" s="16">
        <v>440.80049369655291</v>
      </c>
      <c r="P14" s="19">
        <v>4.1870442831215966</v>
      </c>
      <c r="Q14" s="19">
        <v>0.43260906129104548</v>
      </c>
      <c r="R14" s="16">
        <v>10.332087077152179</v>
      </c>
      <c r="S14" s="16">
        <v>2.0942408376963349E-2</v>
      </c>
      <c r="T14" s="16">
        <v>2.094094653078319E-2</v>
      </c>
      <c r="U14" s="14"/>
      <c r="V14" s="20">
        <v>242</v>
      </c>
      <c r="W14" s="20">
        <v>238</v>
      </c>
      <c r="X14" s="20">
        <v>241</v>
      </c>
      <c r="Y14" s="20">
        <v>243</v>
      </c>
      <c r="Z14" s="20">
        <v>239</v>
      </c>
      <c r="AA14" s="20">
        <v>239</v>
      </c>
      <c r="AB14" s="20">
        <v>240</v>
      </c>
      <c r="AC14" s="20">
        <v>240</v>
      </c>
      <c r="AD14" s="20">
        <v>239</v>
      </c>
      <c r="AE14" s="20">
        <v>239</v>
      </c>
      <c r="AF14" s="20">
        <v>241</v>
      </c>
      <c r="AG14" s="20">
        <v>242</v>
      </c>
      <c r="AH14" s="20">
        <v>242</v>
      </c>
      <c r="AI14" s="20">
        <v>242</v>
      </c>
      <c r="AJ14" s="20">
        <v>242</v>
      </c>
      <c r="AK14" s="20">
        <v>238</v>
      </c>
      <c r="AL14" s="20">
        <v>239</v>
      </c>
      <c r="AM14" s="20">
        <v>239</v>
      </c>
      <c r="AN14" s="20">
        <v>240</v>
      </c>
      <c r="AO14" s="20">
        <v>237</v>
      </c>
      <c r="AP14" s="20">
        <v>242</v>
      </c>
      <c r="AQ14" s="20">
        <v>240</v>
      </c>
      <c r="AR14" s="20">
        <v>239</v>
      </c>
      <c r="AS14" s="20">
        <v>239</v>
      </c>
      <c r="AT14" s="20">
        <v>235</v>
      </c>
      <c r="AU14" s="20">
        <v>234</v>
      </c>
      <c r="AV14" s="20">
        <v>237</v>
      </c>
      <c r="AW14" s="20">
        <v>240</v>
      </c>
      <c r="AX14" s="20">
        <v>238</v>
      </c>
      <c r="AY14" s="20">
        <v>231</v>
      </c>
      <c r="AZ14" s="20">
        <v>232</v>
      </c>
      <c r="BA14" s="20">
        <v>235</v>
      </c>
      <c r="BB14" s="20">
        <v>227</v>
      </c>
      <c r="BC14" s="20">
        <v>241</v>
      </c>
      <c r="BD14" s="20">
        <v>237</v>
      </c>
      <c r="BE14" s="20">
        <v>237</v>
      </c>
      <c r="BF14" s="20">
        <v>239</v>
      </c>
      <c r="BG14" s="20">
        <v>240</v>
      </c>
      <c r="BH14" s="20">
        <v>240</v>
      </c>
      <c r="BI14" s="20">
        <v>238</v>
      </c>
      <c r="BJ14" s="20">
        <v>238</v>
      </c>
      <c r="BK14" s="20">
        <v>240</v>
      </c>
      <c r="BL14" s="20">
        <v>240</v>
      </c>
      <c r="BM14" s="20">
        <v>239</v>
      </c>
      <c r="BN14" s="20">
        <v>238</v>
      </c>
      <c r="BO14" s="20">
        <v>236</v>
      </c>
      <c r="BP14" s="20">
        <v>240</v>
      </c>
      <c r="BQ14" s="20">
        <v>241</v>
      </c>
      <c r="BR14" s="20">
        <v>242</v>
      </c>
      <c r="BS14" s="20">
        <v>238</v>
      </c>
      <c r="BT14" s="20">
        <v>238</v>
      </c>
      <c r="BU14" s="20">
        <v>238</v>
      </c>
      <c r="BV14" s="20">
        <v>241</v>
      </c>
      <c r="BW14" s="20">
        <v>241</v>
      </c>
      <c r="BX14" s="20">
        <v>240</v>
      </c>
      <c r="BY14" s="20">
        <v>236</v>
      </c>
      <c r="BZ14" s="20">
        <v>242</v>
      </c>
      <c r="CA14" s="20">
        <v>241</v>
      </c>
      <c r="CB14" s="20">
        <v>236</v>
      </c>
      <c r="CC14" s="20">
        <v>238</v>
      </c>
    </row>
    <row r="15" spans="1:81" x14ac:dyDescent="0.25">
      <c r="A15" s="13" t="s">
        <v>255</v>
      </c>
      <c r="B15" s="14">
        <v>4</v>
      </c>
      <c r="C15" s="13" t="s">
        <v>256</v>
      </c>
      <c r="D15" s="15">
        <v>14352</v>
      </c>
      <c r="E15" s="16">
        <v>59.983085500000001</v>
      </c>
      <c r="F15" s="17">
        <v>0</v>
      </c>
      <c r="G15" s="13" t="s">
        <v>252</v>
      </c>
      <c r="H15" s="18">
        <v>239.26745148846999</v>
      </c>
      <c r="I15" s="16">
        <v>242.80979494712821</v>
      </c>
      <c r="J15" s="16">
        <v>189.49464431286779</v>
      </c>
      <c r="K15" s="16">
        <v>168.51523952402229</v>
      </c>
      <c r="L15" s="16">
        <v>169.03971356054811</v>
      </c>
      <c r="M15" s="16">
        <v>92.86847502224974</v>
      </c>
      <c r="N15" s="16">
        <v>41.388501446528117</v>
      </c>
      <c r="O15" s="16">
        <v>378.15761609438812</v>
      </c>
      <c r="P15" s="19">
        <v>4.1794234601449274</v>
      </c>
      <c r="Q15" s="19">
        <v>0.41920649051659359</v>
      </c>
      <c r="R15" s="16">
        <v>10.03024686333308</v>
      </c>
      <c r="S15" s="16">
        <v>2.0904466587694241E-2</v>
      </c>
      <c r="T15" s="16">
        <v>1.3935340022296541E-2</v>
      </c>
      <c r="U15" s="14"/>
      <c r="V15" s="20">
        <v>240</v>
      </c>
      <c r="W15" s="20">
        <v>242</v>
      </c>
      <c r="X15" s="20">
        <v>242</v>
      </c>
      <c r="Y15" s="20">
        <v>242</v>
      </c>
      <c r="Z15" s="20">
        <v>242</v>
      </c>
      <c r="AA15" s="20">
        <v>242</v>
      </c>
      <c r="AB15" s="20">
        <v>242</v>
      </c>
      <c r="AC15" s="20">
        <v>242</v>
      </c>
      <c r="AD15" s="20">
        <v>242</v>
      </c>
      <c r="AE15" s="20">
        <v>243</v>
      </c>
      <c r="AF15" s="20">
        <v>235</v>
      </c>
      <c r="AG15" s="20">
        <v>240</v>
      </c>
      <c r="AH15" s="20">
        <v>240</v>
      </c>
      <c r="AI15" s="20">
        <v>239</v>
      </c>
      <c r="AJ15" s="20">
        <v>242</v>
      </c>
      <c r="AK15" s="20">
        <v>239</v>
      </c>
      <c r="AL15" s="20">
        <v>240</v>
      </c>
      <c r="AM15" s="20">
        <v>241</v>
      </c>
      <c r="AN15" s="20">
        <v>233</v>
      </c>
      <c r="AO15" s="20">
        <v>233</v>
      </c>
      <c r="AP15" s="20">
        <v>234</v>
      </c>
      <c r="AQ15" s="20">
        <v>241</v>
      </c>
      <c r="AR15" s="20">
        <v>242</v>
      </c>
      <c r="AS15" s="20">
        <v>239</v>
      </c>
      <c r="AT15" s="20">
        <v>236</v>
      </c>
      <c r="AU15" s="20">
        <v>238</v>
      </c>
      <c r="AV15" s="20">
        <v>244</v>
      </c>
      <c r="AW15" s="20">
        <v>240</v>
      </c>
      <c r="AX15" s="20">
        <v>240</v>
      </c>
      <c r="AY15" s="20">
        <v>240</v>
      </c>
      <c r="AZ15" s="20">
        <v>237</v>
      </c>
      <c r="BA15" s="20">
        <v>240</v>
      </c>
      <c r="BB15" s="20">
        <v>241</v>
      </c>
      <c r="BC15" s="20">
        <v>242</v>
      </c>
      <c r="BD15" s="20">
        <v>243</v>
      </c>
      <c r="BE15" s="20">
        <v>241</v>
      </c>
      <c r="BF15" s="20">
        <v>239</v>
      </c>
      <c r="BG15" s="20">
        <v>242</v>
      </c>
      <c r="BH15" s="20">
        <v>244</v>
      </c>
      <c r="BI15" s="20">
        <v>242</v>
      </c>
      <c r="BJ15" s="20">
        <v>241</v>
      </c>
      <c r="BK15" s="20">
        <v>240</v>
      </c>
      <c r="BL15" s="20">
        <v>242</v>
      </c>
      <c r="BM15" s="20">
        <v>240</v>
      </c>
      <c r="BN15" s="20">
        <v>239</v>
      </c>
      <c r="BO15" s="20">
        <v>235</v>
      </c>
      <c r="BP15" s="20">
        <v>242</v>
      </c>
      <c r="BQ15" s="20">
        <v>241</v>
      </c>
      <c r="BR15" s="20">
        <v>237</v>
      </c>
      <c r="BS15" s="20">
        <v>231</v>
      </c>
      <c r="BT15" s="20">
        <v>231</v>
      </c>
      <c r="BU15" s="20">
        <v>232</v>
      </c>
      <c r="BV15" s="20">
        <v>231</v>
      </c>
      <c r="BW15" s="20">
        <v>228</v>
      </c>
      <c r="BX15" s="20">
        <v>232</v>
      </c>
      <c r="BY15" s="20">
        <v>241</v>
      </c>
      <c r="BZ15" s="20">
        <v>240</v>
      </c>
      <c r="CA15" s="20">
        <v>243</v>
      </c>
      <c r="CB15" s="20">
        <v>240</v>
      </c>
      <c r="CC15" s="20">
        <v>240</v>
      </c>
    </row>
    <row r="16" spans="1:81" x14ac:dyDescent="0.25">
      <c r="A16" s="13" t="s">
        <v>255</v>
      </c>
      <c r="B16" s="14">
        <v>5</v>
      </c>
      <c r="C16" s="13" t="s">
        <v>256</v>
      </c>
      <c r="D16" s="15">
        <v>14399</v>
      </c>
      <c r="E16" s="16">
        <v>59.994464200000003</v>
      </c>
      <c r="F16" s="17">
        <v>0</v>
      </c>
      <c r="G16" s="13" t="s">
        <v>252</v>
      </c>
      <c r="H16" s="18">
        <v>240.0054770386632</v>
      </c>
      <c r="I16" s="16">
        <v>243.36821611097591</v>
      </c>
      <c r="J16" s="16">
        <v>190.1609941008256</v>
      </c>
      <c r="K16" s="16">
        <v>167.15513296806279</v>
      </c>
      <c r="L16" s="16">
        <v>168.3162211841796</v>
      </c>
      <c r="M16" s="16">
        <v>82.750767927126375</v>
      </c>
      <c r="N16" s="16">
        <v>43.816985216149192</v>
      </c>
      <c r="O16" s="16">
        <v>456.28764373060773</v>
      </c>
      <c r="P16" s="19">
        <v>4.1665715813598174</v>
      </c>
      <c r="Q16" s="19">
        <v>0.41121194850340093</v>
      </c>
      <c r="R16" s="16">
        <v>9.8693119864556937</v>
      </c>
      <c r="S16" s="16">
        <v>2.0836227253785249E-2</v>
      </c>
      <c r="T16" s="16">
        <v>2.0834780193068961E-2</v>
      </c>
      <c r="U16" s="14"/>
      <c r="V16" s="20">
        <v>239</v>
      </c>
      <c r="W16" s="20">
        <v>240</v>
      </c>
      <c r="X16" s="20">
        <v>239</v>
      </c>
      <c r="Y16" s="20">
        <v>240</v>
      </c>
      <c r="Z16" s="20">
        <v>237</v>
      </c>
      <c r="AA16" s="20">
        <v>228</v>
      </c>
      <c r="AB16" s="20">
        <v>239</v>
      </c>
      <c r="AC16" s="20">
        <v>239</v>
      </c>
      <c r="AD16" s="20">
        <v>239</v>
      </c>
      <c r="AE16" s="20">
        <v>241</v>
      </c>
      <c r="AF16" s="20">
        <v>241</v>
      </c>
      <c r="AG16" s="20">
        <v>241</v>
      </c>
      <c r="AH16" s="20">
        <v>243</v>
      </c>
      <c r="AI16" s="20">
        <v>243</v>
      </c>
      <c r="AJ16" s="20">
        <v>243</v>
      </c>
      <c r="AK16" s="20">
        <v>236</v>
      </c>
      <c r="AL16" s="20">
        <v>233</v>
      </c>
      <c r="AM16" s="20">
        <v>243</v>
      </c>
      <c r="AN16" s="20">
        <v>242</v>
      </c>
      <c r="AO16" s="20">
        <v>242</v>
      </c>
      <c r="AP16" s="20">
        <v>241</v>
      </c>
      <c r="AQ16" s="20">
        <v>242</v>
      </c>
      <c r="AR16" s="20">
        <v>243</v>
      </c>
      <c r="AS16" s="20">
        <v>242</v>
      </c>
      <c r="AT16" s="20">
        <v>241</v>
      </c>
      <c r="AU16" s="20">
        <v>240</v>
      </c>
      <c r="AV16" s="20">
        <v>239</v>
      </c>
      <c r="AW16" s="20">
        <v>240</v>
      </c>
      <c r="AX16" s="20">
        <v>242</v>
      </c>
      <c r="AY16" s="20">
        <v>241</v>
      </c>
      <c r="AZ16" s="20">
        <v>244</v>
      </c>
      <c r="BA16" s="20">
        <v>237</v>
      </c>
      <c r="BB16" s="20">
        <v>243</v>
      </c>
      <c r="BC16" s="20">
        <v>242</v>
      </c>
      <c r="BD16" s="20">
        <v>242</v>
      </c>
      <c r="BE16" s="20">
        <v>239</v>
      </c>
      <c r="BF16" s="20">
        <v>240</v>
      </c>
      <c r="BG16" s="20">
        <v>242</v>
      </c>
      <c r="BH16" s="20">
        <v>245</v>
      </c>
      <c r="BI16" s="20">
        <v>242</v>
      </c>
      <c r="BJ16" s="20">
        <v>239</v>
      </c>
      <c r="BK16" s="20">
        <v>241</v>
      </c>
      <c r="BL16" s="20">
        <v>242</v>
      </c>
      <c r="BM16" s="20">
        <v>240</v>
      </c>
      <c r="BN16" s="20">
        <v>240</v>
      </c>
      <c r="BO16" s="20">
        <v>239</v>
      </c>
      <c r="BP16" s="20">
        <v>237</v>
      </c>
      <c r="BQ16" s="20">
        <v>241</v>
      </c>
      <c r="BR16" s="20">
        <v>240</v>
      </c>
      <c r="BS16" s="20">
        <v>237</v>
      </c>
      <c r="BT16" s="20">
        <v>238</v>
      </c>
      <c r="BU16" s="20">
        <v>239</v>
      </c>
      <c r="BV16" s="20">
        <v>239</v>
      </c>
      <c r="BW16" s="20">
        <v>238</v>
      </c>
      <c r="BX16" s="20">
        <v>241</v>
      </c>
      <c r="BY16" s="20">
        <v>239</v>
      </c>
      <c r="BZ16" s="20">
        <v>235</v>
      </c>
      <c r="CA16" s="20">
        <v>240</v>
      </c>
      <c r="CB16" s="20">
        <v>241</v>
      </c>
      <c r="CC16" s="20">
        <v>238</v>
      </c>
    </row>
    <row r="17" spans="1:81" x14ac:dyDescent="0.25">
      <c r="A17" s="21" t="s">
        <v>257</v>
      </c>
      <c r="B17" s="22">
        <v>1</v>
      </c>
      <c r="C17" s="21" t="s">
        <v>258</v>
      </c>
      <c r="D17" s="23">
        <v>14126</v>
      </c>
      <c r="E17" s="24">
        <v>59.980013200000002</v>
      </c>
      <c r="F17" s="25">
        <v>0</v>
      </c>
      <c r="G17" s="21" t="s">
        <v>252</v>
      </c>
      <c r="H17" s="26">
        <v>235.51178544922359</v>
      </c>
      <c r="I17" s="24">
        <v>238.88583645875639</v>
      </c>
      <c r="J17" s="24">
        <v>180.83591401252289</v>
      </c>
      <c r="K17" s="24">
        <v>160.29365798142101</v>
      </c>
      <c r="L17" s="24">
        <v>158.9028552360229</v>
      </c>
      <c r="M17" s="24">
        <v>81.441183177509203</v>
      </c>
      <c r="N17" s="24">
        <v>43.45124552995312</v>
      </c>
      <c r="O17" s="24">
        <v>332.57948649727291</v>
      </c>
      <c r="P17" s="27">
        <v>4.2460720090613053</v>
      </c>
      <c r="Q17" s="27">
        <v>0.47685427067989589</v>
      </c>
      <c r="R17" s="24">
        <v>11.230480068690969</v>
      </c>
      <c r="S17" s="24">
        <v>2.831858407079646E-2</v>
      </c>
      <c r="T17" s="24">
        <v>2.1237434517910238E-2</v>
      </c>
      <c r="U17" s="22"/>
      <c r="V17" s="28">
        <v>233</v>
      </c>
      <c r="W17" s="28">
        <v>231</v>
      </c>
      <c r="X17" s="28">
        <v>233</v>
      </c>
      <c r="Y17" s="28">
        <v>227</v>
      </c>
      <c r="Z17" s="28">
        <v>233</v>
      </c>
      <c r="AA17" s="28">
        <v>228</v>
      </c>
      <c r="AB17" s="28">
        <v>234</v>
      </c>
      <c r="AC17" s="28">
        <v>232</v>
      </c>
      <c r="AD17" s="28">
        <v>232</v>
      </c>
      <c r="AE17" s="28">
        <v>233</v>
      </c>
      <c r="AF17" s="28">
        <v>232</v>
      </c>
      <c r="AG17" s="28">
        <v>231</v>
      </c>
      <c r="AH17" s="28">
        <v>234</v>
      </c>
      <c r="AI17" s="28">
        <v>234</v>
      </c>
      <c r="AJ17" s="28">
        <v>231</v>
      </c>
      <c r="AK17" s="28">
        <v>225</v>
      </c>
      <c r="AL17" s="28">
        <v>231</v>
      </c>
      <c r="AM17" s="28">
        <v>231</v>
      </c>
      <c r="AN17" s="28">
        <v>232</v>
      </c>
      <c r="AO17" s="28">
        <v>231</v>
      </c>
      <c r="AP17" s="28">
        <v>235</v>
      </c>
      <c r="AQ17" s="28">
        <v>235</v>
      </c>
      <c r="AR17" s="28">
        <v>233</v>
      </c>
      <c r="AS17" s="28">
        <v>234</v>
      </c>
      <c r="AT17" s="28">
        <v>231</v>
      </c>
      <c r="AU17" s="28">
        <v>228</v>
      </c>
      <c r="AV17" s="28">
        <v>230</v>
      </c>
      <c r="AW17" s="28">
        <v>236</v>
      </c>
      <c r="AX17" s="28">
        <v>240</v>
      </c>
      <c r="AY17" s="28">
        <v>245</v>
      </c>
      <c r="AZ17" s="28">
        <v>241</v>
      </c>
      <c r="BA17" s="28">
        <v>240</v>
      </c>
      <c r="BB17" s="28">
        <v>238</v>
      </c>
      <c r="BC17" s="28">
        <v>239</v>
      </c>
      <c r="BD17" s="28">
        <v>243</v>
      </c>
      <c r="BE17" s="28">
        <v>241</v>
      </c>
      <c r="BF17" s="28">
        <v>243</v>
      </c>
      <c r="BG17" s="28">
        <v>242</v>
      </c>
      <c r="BH17" s="28">
        <v>239</v>
      </c>
      <c r="BI17" s="28">
        <v>242</v>
      </c>
      <c r="BJ17" s="28">
        <v>243</v>
      </c>
      <c r="BK17" s="28">
        <v>242</v>
      </c>
      <c r="BL17" s="28">
        <v>243</v>
      </c>
      <c r="BM17" s="28">
        <v>240</v>
      </c>
      <c r="BN17" s="28">
        <v>241</v>
      </c>
      <c r="BO17" s="28">
        <v>237</v>
      </c>
      <c r="BP17" s="28">
        <v>242</v>
      </c>
      <c r="BQ17" s="28">
        <v>246</v>
      </c>
      <c r="BR17" s="28">
        <v>243</v>
      </c>
      <c r="BS17" s="28">
        <v>237</v>
      </c>
      <c r="BT17" s="28">
        <v>227</v>
      </c>
      <c r="BU17" s="28">
        <v>229</v>
      </c>
      <c r="BV17" s="28">
        <v>224</v>
      </c>
      <c r="BW17" s="28">
        <v>230</v>
      </c>
      <c r="BX17" s="28">
        <v>234</v>
      </c>
      <c r="BY17" s="28">
        <v>228</v>
      </c>
      <c r="BZ17" s="28">
        <v>239</v>
      </c>
      <c r="CA17" s="28">
        <v>240</v>
      </c>
      <c r="CB17" s="28">
        <v>242</v>
      </c>
      <c r="CC17" s="28">
        <v>236</v>
      </c>
    </row>
    <row r="18" spans="1:81" x14ac:dyDescent="0.25">
      <c r="A18" s="21" t="s">
        <v>257</v>
      </c>
      <c r="B18" s="22">
        <v>2</v>
      </c>
      <c r="C18" s="21" t="s">
        <v>258</v>
      </c>
      <c r="D18" s="23">
        <v>14363</v>
      </c>
      <c r="E18" s="24">
        <v>59.983356200000003</v>
      </c>
      <c r="F18" s="25">
        <v>0</v>
      </c>
      <c r="G18" s="21" t="s">
        <v>252</v>
      </c>
      <c r="H18" s="26">
        <v>239.4497558974534</v>
      </c>
      <c r="I18" s="24">
        <v>244.93594924927129</v>
      </c>
      <c r="J18" s="24">
        <v>182.8326035874683</v>
      </c>
      <c r="K18" s="24">
        <v>96.637957719888362</v>
      </c>
      <c r="L18" s="24">
        <v>113.18916806294381</v>
      </c>
      <c r="M18" s="24">
        <v>58.654380529091839</v>
      </c>
      <c r="N18" s="24">
        <v>38.086242487488668</v>
      </c>
      <c r="O18" s="24">
        <v>322.74722437387038</v>
      </c>
      <c r="P18" s="27">
        <v>4.1762414676599597</v>
      </c>
      <c r="Q18" s="27">
        <v>0.55164271386852315</v>
      </c>
      <c r="R18" s="24">
        <v>13.20907131784266</v>
      </c>
      <c r="S18" s="24">
        <v>0.17407046372371529</v>
      </c>
      <c r="T18" s="24">
        <v>0.25760634964840212</v>
      </c>
      <c r="U18" s="22"/>
      <c r="V18" s="28">
        <v>241</v>
      </c>
      <c r="W18" s="28">
        <v>240</v>
      </c>
      <c r="X18" s="28">
        <v>243</v>
      </c>
      <c r="Y18" s="28">
        <v>242</v>
      </c>
      <c r="Z18" s="28">
        <v>243</v>
      </c>
      <c r="AA18" s="28">
        <v>242</v>
      </c>
      <c r="AB18" s="28">
        <v>242</v>
      </c>
      <c r="AC18" s="28">
        <v>243</v>
      </c>
      <c r="AD18" s="28">
        <v>243</v>
      </c>
      <c r="AE18" s="28">
        <v>241</v>
      </c>
      <c r="AF18" s="28">
        <v>239</v>
      </c>
      <c r="AG18" s="28">
        <v>239</v>
      </c>
      <c r="AH18" s="28">
        <v>229</v>
      </c>
      <c r="AI18" s="28">
        <v>222</v>
      </c>
      <c r="AJ18" s="28">
        <v>224</v>
      </c>
      <c r="AK18" s="28">
        <v>221</v>
      </c>
      <c r="AL18" s="28">
        <v>222</v>
      </c>
      <c r="AM18" s="28">
        <v>220</v>
      </c>
      <c r="AN18" s="28">
        <v>221</v>
      </c>
      <c r="AO18" s="28">
        <v>222</v>
      </c>
      <c r="AP18" s="28">
        <v>222</v>
      </c>
      <c r="AQ18" s="28">
        <v>219</v>
      </c>
      <c r="AR18" s="28">
        <v>221</v>
      </c>
      <c r="AS18" s="28">
        <v>231</v>
      </c>
      <c r="AT18" s="28">
        <v>244</v>
      </c>
      <c r="AU18" s="28">
        <v>243</v>
      </c>
      <c r="AV18" s="28">
        <v>245</v>
      </c>
      <c r="AW18" s="28">
        <v>245</v>
      </c>
      <c r="AX18" s="28">
        <v>246</v>
      </c>
      <c r="AY18" s="28">
        <v>244</v>
      </c>
      <c r="AZ18" s="28">
        <v>247</v>
      </c>
      <c r="BA18" s="28">
        <v>240</v>
      </c>
      <c r="BB18" s="28">
        <v>245</v>
      </c>
      <c r="BC18" s="28">
        <v>245</v>
      </c>
      <c r="BD18" s="28">
        <v>245</v>
      </c>
      <c r="BE18" s="28">
        <v>247</v>
      </c>
      <c r="BF18" s="28">
        <v>247</v>
      </c>
      <c r="BG18" s="28">
        <v>240</v>
      </c>
      <c r="BH18" s="28">
        <v>246</v>
      </c>
      <c r="BI18" s="28">
        <v>246</v>
      </c>
      <c r="BJ18" s="28">
        <v>245</v>
      </c>
      <c r="BK18" s="28">
        <v>239</v>
      </c>
      <c r="BL18" s="28">
        <v>246</v>
      </c>
      <c r="BM18" s="28">
        <v>242</v>
      </c>
      <c r="BN18" s="28">
        <v>245</v>
      </c>
      <c r="BO18" s="28">
        <v>245</v>
      </c>
      <c r="BP18" s="28">
        <v>243</v>
      </c>
      <c r="BQ18" s="28">
        <v>243</v>
      </c>
      <c r="BR18" s="28">
        <v>245</v>
      </c>
      <c r="BS18" s="28">
        <v>244</v>
      </c>
      <c r="BT18" s="28">
        <v>244</v>
      </c>
      <c r="BU18" s="28">
        <v>240</v>
      </c>
      <c r="BV18" s="28">
        <v>246</v>
      </c>
      <c r="BW18" s="28">
        <v>247</v>
      </c>
      <c r="BX18" s="28">
        <v>245</v>
      </c>
      <c r="BY18" s="28">
        <v>243</v>
      </c>
      <c r="BZ18" s="28">
        <v>244</v>
      </c>
      <c r="CA18" s="28">
        <v>244</v>
      </c>
      <c r="CB18" s="28">
        <v>246</v>
      </c>
      <c r="CC18" s="28">
        <v>240</v>
      </c>
    </row>
    <row r="19" spans="1:81" x14ac:dyDescent="0.25">
      <c r="A19" s="21" t="s">
        <v>257</v>
      </c>
      <c r="B19" s="22">
        <v>3</v>
      </c>
      <c r="C19" s="21" t="s">
        <v>258</v>
      </c>
      <c r="D19" s="23">
        <v>14382</v>
      </c>
      <c r="E19" s="24">
        <v>59.983829100000001</v>
      </c>
      <c r="F19" s="25">
        <v>0</v>
      </c>
      <c r="G19" s="21" t="s">
        <v>252</v>
      </c>
      <c r="H19" s="26">
        <v>239.76462016160281</v>
      </c>
      <c r="I19" s="24">
        <v>244.22410003419139</v>
      </c>
      <c r="J19" s="24">
        <v>186.18156687055401</v>
      </c>
      <c r="K19" s="24">
        <v>163.23098364345211</v>
      </c>
      <c r="L19" s="24">
        <v>162.05043406366269</v>
      </c>
      <c r="M19" s="24">
        <v>76.972694706279881</v>
      </c>
      <c r="N19" s="24">
        <v>39.248624335717032</v>
      </c>
      <c r="O19" s="24">
        <v>506.45733096986578</v>
      </c>
      <c r="P19" s="27">
        <v>4.1707571339173972</v>
      </c>
      <c r="Q19" s="27">
        <v>0.4517708689089957</v>
      </c>
      <c r="R19" s="24">
        <v>10.83186707840426</v>
      </c>
      <c r="S19" s="24">
        <v>4.1721716153257767E-2</v>
      </c>
      <c r="T19" s="24">
        <v>3.4765679321373942E-2</v>
      </c>
      <c r="U19" s="22"/>
      <c r="V19" s="28">
        <v>245</v>
      </c>
      <c r="W19" s="28">
        <v>248</v>
      </c>
      <c r="X19" s="28">
        <v>245</v>
      </c>
      <c r="Y19" s="28">
        <v>243</v>
      </c>
      <c r="Z19" s="28">
        <v>239</v>
      </c>
      <c r="AA19" s="28">
        <v>243</v>
      </c>
      <c r="AB19" s="28">
        <v>242</v>
      </c>
      <c r="AC19" s="28">
        <v>244</v>
      </c>
      <c r="AD19" s="28">
        <v>244</v>
      </c>
      <c r="AE19" s="28">
        <v>234</v>
      </c>
      <c r="AF19" s="28">
        <v>245</v>
      </c>
      <c r="AG19" s="28">
        <v>243</v>
      </c>
      <c r="AH19" s="28">
        <v>245</v>
      </c>
      <c r="AI19" s="28">
        <v>244</v>
      </c>
      <c r="AJ19" s="28">
        <v>245</v>
      </c>
      <c r="AK19" s="28">
        <v>242</v>
      </c>
      <c r="AL19" s="28">
        <v>242</v>
      </c>
      <c r="AM19" s="28">
        <v>245</v>
      </c>
      <c r="AN19" s="28">
        <v>245</v>
      </c>
      <c r="AO19" s="28">
        <v>244</v>
      </c>
      <c r="AP19" s="28">
        <v>241</v>
      </c>
      <c r="AQ19" s="28">
        <v>243</v>
      </c>
      <c r="AR19" s="28">
        <v>247</v>
      </c>
      <c r="AS19" s="28">
        <v>240</v>
      </c>
      <c r="AT19" s="28">
        <v>246</v>
      </c>
      <c r="AU19" s="28">
        <v>244</v>
      </c>
      <c r="AV19" s="28">
        <v>243</v>
      </c>
      <c r="AW19" s="28">
        <v>241</v>
      </c>
      <c r="AX19" s="28">
        <v>244</v>
      </c>
      <c r="AY19" s="28">
        <v>237</v>
      </c>
      <c r="AZ19" s="28">
        <v>233</v>
      </c>
      <c r="BA19" s="28">
        <v>232</v>
      </c>
      <c r="BB19" s="28">
        <v>231</v>
      </c>
      <c r="BC19" s="28">
        <v>233</v>
      </c>
      <c r="BD19" s="28">
        <v>235</v>
      </c>
      <c r="BE19" s="28">
        <v>225</v>
      </c>
      <c r="BF19" s="28">
        <v>230</v>
      </c>
      <c r="BG19" s="28">
        <v>234</v>
      </c>
      <c r="BH19" s="28">
        <v>233</v>
      </c>
      <c r="BI19" s="28">
        <v>235</v>
      </c>
      <c r="BJ19" s="28">
        <v>234</v>
      </c>
      <c r="BK19" s="28">
        <v>234</v>
      </c>
      <c r="BL19" s="28">
        <v>244</v>
      </c>
      <c r="BM19" s="28">
        <v>245</v>
      </c>
      <c r="BN19" s="28">
        <v>245</v>
      </c>
      <c r="BO19" s="28">
        <v>245</v>
      </c>
      <c r="BP19" s="28">
        <v>226</v>
      </c>
      <c r="BQ19" s="28">
        <v>233</v>
      </c>
      <c r="BR19" s="28">
        <v>237</v>
      </c>
      <c r="BS19" s="28">
        <v>238</v>
      </c>
      <c r="BT19" s="28">
        <v>235</v>
      </c>
      <c r="BU19" s="28">
        <v>247</v>
      </c>
      <c r="BV19" s="28">
        <v>244</v>
      </c>
      <c r="BW19" s="28">
        <v>243</v>
      </c>
      <c r="BX19" s="28">
        <v>243</v>
      </c>
      <c r="BY19" s="28">
        <v>244</v>
      </c>
      <c r="BZ19" s="28">
        <v>239</v>
      </c>
      <c r="CA19" s="28">
        <v>234</v>
      </c>
      <c r="CB19" s="28">
        <v>229</v>
      </c>
      <c r="CC19" s="28">
        <v>229</v>
      </c>
    </row>
    <row r="20" spans="1:81" x14ac:dyDescent="0.25">
      <c r="A20" s="21" t="s">
        <v>257</v>
      </c>
      <c r="B20" s="22">
        <v>4</v>
      </c>
      <c r="C20" s="21" t="s">
        <v>258</v>
      </c>
      <c r="D20" s="23">
        <v>14624</v>
      </c>
      <c r="E20" s="24">
        <v>59.9996656</v>
      </c>
      <c r="F20" s="25">
        <v>0</v>
      </c>
      <c r="G20" s="21" t="s">
        <v>252</v>
      </c>
      <c r="H20" s="26">
        <v>243.73469174801531</v>
      </c>
      <c r="I20" s="24">
        <v>247.93593335482109</v>
      </c>
      <c r="J20" s="24">
        <v>193.81343634905099</v>
      </c>
      <c r="K20" s="24">
        <v>170.27190465045621</v>
      </c>
      <c r="L20" s="24">
        <v>170.36392214798801</v>
      </c>
      <c r="M20" s="24">
        <v>81.921686144912925</v>
      </c>
      <c r="N20" s="24">
        <v>40.413184397277767</v>
      </c>
      <c r="O20" s="24">
        <v>427.24087840724599</v>
      </c>
      <c r="P20" s="27">
        <v>4.102821772428884</v>
      </c>
      <c r="Q20" s="27">
        <v>0.40566986818546352</v>
      </c>
      <c r="R20" s="24">
        <v>9.8875820273641981</v>
      </c>
      <c r="S20" s="24">
        <v>2.7354168091362919E-2</v>
      </c>
      <c r="T20" s="24">
        <v>4.1028446389496723E-2</v>
      </c>
      <c r="U20" s="22"/>
      <c r="V20" s="28">
        <v>244</v>
      </c>
      <c r="W20" s="28">
        <v>242</v>
      </c>
      <c r="X20" s="28">
        <v>239</v>
      </c>
      <c r="Y20" s="28">
        <v>243</v>
      </c>
      <c r="Z20" s="28">
        <v>243</v>
      </c>
      <c r="AA20" s="28">
        <v>244</v>
      </c>
      <c r="AB20" s="28">
        <v>245</v>
      </c>
      <c r="AC20" s="28">
        <v>250</v>
      </c>
      <c r="AD20" s="28">
        <v>247</v>
      </c>
      <c r="AE20" s="28">
        <v>240</v>
      </c>
      <c r="AF20" s="28">
        <v>238</v>
      </c>
      <c r="AG20" s="28">
        <v>246</v>
      </c>
      <c r="AH20" s="28">
        <v>243</v>
      </c>
      <c r="AI20" s="28">
        <v>244</v>
      </c>
      <c r="AJ20" s="28">
        <v>243</v>
      </c>
      <c r="AK20" s="28">
        <v>247</v>
      </c>
      <c r="AL20" s="28">
        <v>245</v>
      </c>
      <c r="AM20" s="28">
        <v>243</v>
      </c>
      <c r="AN20" s="28">
        <v>242</v>
      </c>
      <c r="AO20" s="28">
        <v>245</v>
      </c>
      <c r="AP20" s="28">
        <v>245</v>
      </c>
      <c r="AQ20" s="28">
        <v>247</v>
      </c>
      <c r="AR20" s="28">
        <v>241</v>
      </c>
      <c r="AS20" s="28">
        <v>245</v>
      </c>
      <c r="AT20" s="28">
        <v>246</v>
      </c>
      <c r="AU20" s="28">
        <v>244</v>
      </c>
      <c r="AV20" s="28">
        <v>245</v>
      </c>
      <c r="AW20" s="28">
        <v>244</v>
      </c>
      <c r="AX20" s="28">
        <v>244</v>
      </c>
      <c r="AY20" s="28">
        <v>245</v>
      </c>
      <c r="AZ20" s="28">
        <v>246</v>
      </c>
      <c r="BA20" s="28">
        <v>246</v>
      </c>
      <c r="BB20" s="28">
        <v>234</v>
      </c>
      <c r="BC20" s="28">
        <v>244</v>
      </c>
      <c r="BD20" s="28">
        <v>245</v>
      </c>
      <c r="BE20" s="28">
        <v>244</v>
      </c>
      <c r="BF20" s="28">
        <v>245</v>
      </c>
      <c r="BG20" s="28">
        <v>245</v>
      </c>
      <c r="BH20" s="28">
        <v>246</v>
      </c>
      <c r="BI20" s="28">
        <v>247</v>
      </c>
      <c r="BJ20" s="28">
        <v>245</v>
      </c>
      <c r="BK20" s="28">
        <v>244</v>
      </c>
      <c r="BL20" s="28">
        <v>241</v>
      </c>
      <c r="BM20" s="28">
        <v>243</v>
      </c>
      <c r="BN20" s="28">
        <v>241</v>
      </c>
      <c r="BO20" s="28">
        <v>245</v>
      </c>
      <c r="BP20" s="28">
        <v>246</v>
      </c>
      <c r="BQ20" s="28">
        <v>243</v>
      </c>
      <c r="BR20" s="28">
        <v>245</v>
      </c>
      <c r="BS20" s="28">
        <v>240</v>
      </c>
      <c r="BT20" s="28">
        <v>246</v>
      </c>
      <c r="BU20" s="28">
        <v>245</v>
      </c>
      <c r="BV20" s="28">
        <v>241</v>
      </c>
      <c r="BW20" s="28">
        <v>245</v>
      </c>
      <c r="BX20" s="28">
        <v>240</v>
      </c>
      <c r="BY20" s="28">
        <v>244</v>
      </c>
      <c r="BZ20" s="28">
        <v>237</v>
      </c>
      <c r="CA20" s="28">
        <v>239</v>
      </c>
      <c r="CB20" s="28">
        <v>247</v>
      </c>
      <c r="CC20" s="28">
        <v>246</v>
      </c>
    </row>
    <row r="21" spans="1:81" x14ac:dyDescent="0.25">
      <c r="A21" s="21" t="s">
        <v>257</v>
      </c>
      <c r="B21" s="22">
        <v>5</v>
      </c>
      <c r="C21" s="21" t="s">
        <v>258</v>
      </c>
      <c r="D21" s="23">
        <v>14201</v>
      </c>
      <c r="E21" s="24">
        <v>59.997996200000003</v>
      </c>
      <c r="F21" s="25">
        <v>0</v>
      </c>
      <c r="G21" s="21" t="s">
        <v>252</v>
      </c>
      <c r="H21" s="26">
        <v>236.6912380317128</v>
      </c>
      <c r="I21" s="24">
        <v>239.96352554411729</v>
      </c>
      <c r="J21" s="24">
        <v>184.8018923713779</v>
      </c>
      <c r="K21" s="24">
        <v>161.01089077665179</v>
      </c>
      <c r="L21" s="24">
        <v>164.22139897721581</v>
      </c>
      <c r="M21" s="24">
        <v>95.157437981139793</v>
      </c>
      <c r="N21" s="24">
        <v>42.208874838023441</v>
      </c>
      <c r="O21" s="24">
        <v>355.88455105163888</v>
      </c>
      <c r="P21" s="27">
        <v>4.2249134708823322</v>
      </c>
      <c r="Q21" s="27">
        <v>0.45448041286703461</v>
      </c>
      <c r="R21" s="24">
        <v>10.75715315826624</v>
      </c>
      <c r="S21" s="24">
        <v>1.408450704225352E-2</v>
      </c>
      <c r="T21" s="24">
        <v>1.408351524540525E-2</v>
      </c>
      <c r="U21" s="22"/>
      <c r="V21" s="28">
        <v>240</v>
      </c>
      <c r="W21" s="28">
        <v>234</v>
      </c>
      <c r="X21" s="28">
        <v>237</v>
      </c>
      <c r="Y21" s="28">
        <v>234</v>
      </c>
      <c r="Z21" s="28">
        <v>233</v>
      </c>
      <c r="AA21" s="28">
        <v>236</v>
      </c>
      <c r="AB21" s="28">
        <v>233</v>
      </c>
      <c r="AC21" s="28">
        <v>232</v>
      </c>
      <c r="AD21" s="28">
        <v>234</v>
      </c>
      <c r="AE21" s="28">
        <v>235</v>
      </c>
      <c r="AF21" s="28">
        <v>229</v>
      </c>
      <c r="AG21" s="28">
        <v>233</v>
      </c>
      <c r="AH21" s="28">
        <v>237</v>
      </c>
      <c r="AI21" s="28">
        <v>234</v>
      </c>
      <c r="AJ21" s="28">
        <v>233</v>
      </c>
      <c r="AK21" s="28">
        <v>234</v>
      </c>
      <c r="AL21" s="28">
        <v>234</v>
      </c>
      <c r="AM21" s="28">
        <v>230</v>
      </c>
      <c r="AN21" s="28">
        <v>233</v>
      </c>
      <c r="AO21" s="28">
        <v>234</v>
      </c>
      <c r="AP21" s="28">
        <v>236</v>
      </c>
      <c r="AQ21" s="28">
        <v>233</v>
      </c>
      <c r="AR21" s="28">
        <v>235</v>
      </c>
      <c r="AS21" s="28">
        <v>235</v>
      </c>
      <c r="AT21" s="28">
        <v>234</v>
      </c>
      <c r="AU21" s="28">
        <v>234</v>
      </c>
      <c r="AV21" s="28">
        <v>233</v>
      </c>
      <c r="AW21" s="28">
        <v>230</v>
      </c>
      <c r="AX21" s="28">
        <v>235</v>
      </c>
      <c r="AY21" s="28">
        <v>234</v>
      </c>
      <c r="AZ21" s="28">
        <v>231</v>
      </c>
      <c r="BA21" s="28">
        <v>229</v>
      </c>
      <c r="BB21" s="28">
        <v>236</v>
      </c>
      <c r="BC21" s="28">
        <v>235</v>
      </c>
      <c r="BD21" s="28">
        <v>233</v>
      </c>
      <c r="BE21" s="28">
        <v>229</v>
      </c>
      <c r="BF21" s="28">
        <v>234</v>
      </c>
      <c r="BG21" s="28">
        <v>234</v>
      </c>
      <c r="BH21" s="28">
        <v>243</v>
      </c>
      <c r="BI21" s="28">
        <v>242</v>
      </c>
      <c r="BJ21" s="28">
        <v>244</v>
      </c>
      <c r="BK21" s="28">
        <v>246</v>
      </c>
      <c r="BL21" s="28">
        <v>246</v>
      </c>
      <c r="BM21" s="28">
        <v>234</v>
      </c>
      <c r="BN21" s="28">
        <v>244</v>
      </c>
      <c r="BO21" s="28">
        <v>244</v>
      </c>
      <c r="BP21" s="28">
        <v>248</v>
      </c>
      <c r="BQ21" s="28">
        <v>242</v>
      </c>
      <c r="BR21" s="28">
        <v>245</v>
      </c>
      <c r="BS21" s="28">
        <v>245</v>
      </c>
      <c r="BT21" s="28">
        <v>245</v>
      </c>
      <c r="BU21" s="28">
        <v>243</v>
      </c>
      <c r="BV21" s="28">
        <v>246</v>
      </c>
      <c r="BW21" s="28">
        <v>245</v>
      </c>
      <c r="BX21" s="28">
        <v>247</v>
      </c>
      <c r="BY21" s="28">
        <v>234</v>
      </c>
      <c r="BZ21" s="28">
        <v>244</v>
      </c>
      <c r="CA21" s="28">
        <v>229</v>
      </c>
      <c r="CB21" s="28">
        <v>234</v>
      </c>
      <c r="CC21" s="28">
        <v>232</v>
      </c>
    </row>
    <row r="22" spans="1:81" x14ac:dyDescent="0.25">
      <c r="A22" s="13" t="s">
        <v>259</v>
      </c>
      <c r="B22" s="14">
        <v>1</v>
      </c>
      <c r="C22" s="13" t="s">
        <v>260</v>
      </c>
      <c r="D22" s="15">
        <v>14362</v>
      </c>
      <c r="E22" s="16">
        <v>59.990546400000007</v>
      </c>
      <c r="F22" s="17">
        <v>0</v>
      </c>
      <c r="G22" s="13" t="s">
        <v>252</v>
      </c>
      <c r="H22" s="18">
        <v>239.40438722191729</v>
      </c>
      <c r="I22" s="16">
        <v>243.22319376375731</v>
      </c>
      <c r="J22" s="16">
        <v>191.74631808720011</v>
      </c>
      <c r="K22" s="16">
        <v>169.1340906233292</v>
      </c>
      <c r="L22" s="16">
        <v>172.55917535297479</v>
      </c>
      <c r="M22" s="16">
        <v>96.165404495732659</v>
      </c>
      <c r="N22" s="16">
        <v>40.240477091096388</v>
      </c>
      <c r="O22" s="16">
        <v>395.50704002531239</v>
      </c>
      <c r="P22" s="19">
        <v>4.1770328923548261</v>
      </c>
      <c r="Q22" s="19">
        <v>0.39502142847738753</v>
      </c>
      <c r="R22" s="16">
        <v>9.4569863024155385</v>
      </c>
      <c r="S22" s="16">
        <v>2.7853213564515009E-2</v>
      </c>
      <c r="T22" s="16">
        <v>1.392563709789723E-2</v>
      </c>
      <c r="U22" s="14"/>
      <c r="V22" s="20">
        <v>241</v>
      </c>
      <c r="W22" s="20">
        <v>240</v>
      </c>
      <c r="X22" s="20">
        <v>241</v>
      </c>
      <c r="Y22" s="20">
        <v>242</v>
      </c>
      <c r="Z22" s="20">
        <v>241</v>
      </c>
      <c r="AA22" s="20">
        <v>240</v>
      </c>
      <c r="AB22" s="20">
        <v>242</v>
      </c>
      <c r="AC22" s="20">
        <v>238</v>
      </c>
      <c r="AD22" s="20">
        <v>241</v>
      </c>
      <c r="AE22" s="20">
        <v>241</v>
      </c>
      <c r="AF22" s="20">
        <v>241</v>
      </c>
      <c r="AG22" s="20">
        <v>241</v>
      </c>
      <c r="AH22" s="20">
        <v>241</v>
      </c>
      <c r="AI22" s="20">
        <v>239</v>
      </c>
      <c r="AJ22" s="20">
        <v>242</v>
      </c>
      <c r="AK22" s="20">
        <v>239</v>
      </c>
      <c r="AL22" s="20">
        <v>241</v>
      </c>
      <c r="AM22" s="20">
        <v>238</v>
      </c>
      <c r="AN22" s="20">
        <v>239</v>
      </c>
      <c r="AO22" s="20">
        <v>237</v>
      </c>
      <c r="AP22" s="20">
        <v>241</v>
      </c>
      <c r="AQ22" s="20">
        <v>239</v>
      </c>
      <c r="AR22" s="20">
        <v>237</v>
      </c>
      <c r="AS22" s="20">
        <v>239</v>
      </c>
      <c r="AT22" s="20">
        <v>241</v>
      </c>
      <c r="AU22" s="20">
        <v>240</v>
      </c>
      <c r="AV22" s="20">
        <v>239</v>
      </c>
      <c r="AW22" s="20">
        <v>238</v>
      </c>
      <c r="AX22" s="20">
        <v>241</v>
      </c>
      <c r="AY22" s="20">
        <v>241</v>
      </c>
      <c r="AZ22" s="20">
        <v>241</v>
      </c>
      <c r="BA22" s="20">
        <v>236</v>
      </c>
      <c r="BB22" s="20">
        <v>241</v>
      </c>
      <c r="BC22" s="20">
        <v>240</v>
      </c>
      <c r="BD22" s="20">
        <v>239</v>
      </c>
      <c r="BE22" s="20">
        <v>238</v>
      </c>
      <c r="BF22" s="20">
        <v>226</v>
      </c>
      <c r="BG22" s="20">
        <v>230</v>
      </c>
      <c r="BH22" s="20">
        <v>243</v>
      </c>
      <c r="BI22" s="20">
        <v>242</v>
      </c>
      <c r="BJ22" s="20">
        <v>238</v>
      </c>
      <c r="BK22" s="20">
        <v>238</v>
      </c>
      <c r="BL22" s="20">
        <v>239</v>
      </c>
      <c r="BM22" s="20">
        <v>241</v>
      </c>
      <c r="BN22" s="20">
        <v>237</v>
      </c>
      <c r="BO22" s="20">
        <v>240</v>
      </c>
      <c r="BP22" s="20">
        <v>241</v>
      </c>
      <c r="BQ22" s="20">
        <v>238</v>
      </c>
      <c r="BR22" s="20">
        <v>242</v>
      </c>
      <c r="BS22" s="20">
        <v>240</v>
      </c>
      <c r="BT22" s="20">
        <v>239</v>
      </c>
      <c r="BU22" s="20">
        <v>239</v>
      </c>
      <c r="BV22" s="20">
        <v>240</v>
      </c>
      <c r="BW22" s="20">
        <v>238</v>
      </c>
      <c r="BX22" s="20">
        <v>240</v>
      </c>
      <c r="BY22" s="20">
        <v>239</v>
      </c>
      <c r="BZ22" s="20">
        <v>239</v>
      </c>
      <c r="CA22" s="20">
        <v>236</v>
      </c>
      <c r="CB22" s="20">
        <v>242</v>
      </c>
      <c r="CC22" s="20">
        <v>239</v>
      </c>
    </row>
    <row r="23" spans="1:81" x14ac:dyDescent="0.25">
      <c r="A23" s="13" t="s">
        <v>259</v>
      </c>
      <c r="B23" s="14">
        <v>2</v>
      </c>
      <c r="C23" s="13" t="s">
        <v>260</v>
      </c>
      <c r="D23" s="15">
        <v>14372</v>
      </c>
      <c r="E23" s="16">
        <v>59.999386700000002</v>
      </c>
      <c r="F23" s="17">
        <v>0</v>
      </c>
      <c r="G23" s="13" t="s">
        <v>252</v>
      </c>
      <c r="H23" s="18">
        <v>239.53578178824949</v>
      </c>
      <c r="I23" s="16">
        <v>243.16700710047661</v>
      </c>
      <c r="J23" s="16">
        <v>192.4954123530851</v>
      </c>
      <c r="K23" s="16">
        <v>177.26616713533389</v>
      </c>
      <c r="L23" s="16">
        <v>176.54402741562191</v>
      </c>
      <c r="M23" s="16">
        <v>107.6490824453566</v>
      </c>
      <c r="N23" s="16">
        <v>38.308011737574802</v>
      </c>
      <c r="O23" s="16">
        <v>439.69573055445619</v>
      </c>
      <c r="P23" s="19">
        <v>4.1747416295574729</v>
      </c>
      <c r="Q23" s="19">
        <v>0.3923900789366957</v>
      </c>
      <c r="R23" s="16">
        <v>9.3991464324054341</v>
      </c>
      <c r="S23" s="16">
        <v>6.9584580057059364E-3</v>
      </c>
      <c r="T23" s="16">
        <v>6.9579738380183692E-3</v>
      </c>
      <c r="U23" s="14"/>
      <c r="V23" s="20">
        <v>240</v>
      </c>
      <c r="W23" s="20">
        <v>244</v>
      </c>
      <c r="X23" s="20">
        <v>238</v>
      </c>
      <c r="Y23" s="20">
        <v>239</v>
      </c>
      <c r="Z23" s="20">
        <v>241</v>
      </c>
      <c r="AA23" s="20">
        <v>238</v>
      </c>
      <c r="AB23" s="20">
        <v>239</v>
      </c>
      <c r="AC23" s="20">
        <v>240</v>
      </c>
      <c r="AD23" s="20">
        <v>240</v>
      </c>
      <c r="AE23" s="20">
        <v>244</v>
      </c>
      <c r="AF23" s="20">
        <v>239</v>
      </c>
      <c r="AG23" s="20">
        <v>236</v>
      </c>
      <c r="AH23" s="20">
        <v>236</v>
      </c>
      <c r="AI23" s="20">
        <v>238</v>
      </c>
      <c r="AJ23" s="20">
        <v>240</v>
      </c>
      <c r="AK23" s="20">
        <v>240</v>
      </c>
      <c r="AL23" s="20">
        <v>241</v>
      </c>
      <c r="AM23" s="20">
        <v>241</v>
      </c>
      <c r="AN23" s="20">
        <v>241</v>
      </c>
      <c r="AO23" s="20">
        <v>241</v>
      </c>
      <c r="AP23" s="20">
        <v>241</v>
      </c>
      <c r="AQ23" s="20">
        <v>237</v>
      </c>
      <c r="AR23" s="20">
        <v>229</v>
      </c>
      <c r="AS23" s="20">
        <v>229</v>
      </c>
      <c r="AT23" s="20">
        <v>240</v>
      </c>
      <c r="AU23" s="20">
        <v>242</v>
      </c>
      <c r="AV23" s="20">
        <v>242</v>
      </c>
      <c r="AW23" s="20">
        <v>239</v>
      </c>
      <c r="AX23" s="20">
        <v>240</v>
      </c>
      <c r="AY23" s="20">
        <v>239</v>
      </c>
      <c r="AZ23" s="20">
        <v>237</v>
      </c>
      <c r="BA23" s="20">
        <v>241</v>
      </c>
      <c r="BB23" s="20">
        <v>239</v>
      </c>
      <c r="BC23" s="20">
        <v>238</v>
      </c>
      <c r="BD23" s="20">
        <v>241</v>
      </c>
      <c r="BE23" s="20">
        <v>240</v>
      </c>
      <c r="BF23" s="20">
        <v>241</v>
      </c>
      <c r="BG23" s="20">
        <v>239</v>
      </c>
      <c r="BH23" s="20">
        <v>238</v>
      </c>
      <c r="BI23" s="20">
        <v>239</v>
      </c>
      <c r="BJ23" s="20">
        <v>240</v>
      </c>
      <c r="BK23" s="20">
        <v>240</v>
      </c>
      <c r="BL23" s="20">
        <v>241</v>
      </c>
      <c r="BM23" s="20">
        <v>240</v>
      </c>
      <c r="BN23" s="20">
        <v>243</v>
      </c>
      <c r="BO23" s="20">
        <v>241</v>
      </c>
      <c r="BP23" s="20">
        <v>240</v>
      </c>
      <c r="BQ23" s="20">
        <v>240</v>
      </c>
      <c r="BR23" s="20">
        <v>241</v>
      </c>
      <c r="BS23" s="20">
        <v>241</v>
      </c>
      <c r="BT23" s="20">
        <v>241</v>
      </c>
      <c r="BU23" s="20">
        <v>240</v>
      </c>
      <c r="BV23" s="20">
        <v>243</v>
      </c>
      <c r="BW23" s="20">
        <v>237</v>
      </c>
      <c r="BX23" s="20">
        <v>237</v>
      </c>
      <c r="BY23" s="20">
        <v>240</v>
      </c>
      <c r="BZ23" s="20">
        <v>240</v>
      </c>
      <c r="CA23" s="20">
        <v>241</v>
      </c>
      <c r="CB23" s="20">
        <v>238</v>
      </c>
      <c r="CC23" s="20">
        <v>241</v>
      </c>
    </row>
    <row r="24" spans="1:81" x14ac:dyDescent="0.25">
      <c r="A24" s="13" t="s">
        <v>259</v>
      </c>
      <c r="B24" s="14">
        <v>3</v>
      </c>
      <c r="C24" s="13" t="s">
        <v>260</v>
      </c>
      <c r="D24" s="15">
        <v>14252</v>
      </c>
      <c r="E24" s="16">
        <v>59.985418199999998</v>
      </c>
      <c r="F24" s="17">
        <v>0</v>
      </c>
      <c r="G24" s="13" t="s">
        <v>252</v>
      </c>
      <c r="H24" s="18">
        <v>237.59107509231299</v>
      </c>
      <c r="I24" s="16">
        <v>241.53130849586381</v>
      </c>
      <c r="J24" s="16">
        <v>189.58927379724571</v>
      </c>
      <c r="K24" s="16">
        <v>170.27775554234</v>
      </c>
      <c r="L24" s="16">
        <v>169.22402324142641</v>
      </c>
      <c r="M24" s="16">
        <v>82.974193366379197</v>
      </c>
      <c r="N24" s="16">
        <v>38.305370412931893</v>
      </c>
      <c r="O24" s="16">
        <v>432.30157357772782</v>
      </c>
      <c r="P24" s="19">
        <v>4.208912307044625</v>
      </c>
      <c r="Q24" s="19">
        <v>0.41949631974121759</v>
      </c>
      <c r="R24" s="16">
        <v>9.9668581604584574</v>
      </c>
      <c r="S24" s="16">
        <v>2.1051154304961059E-2</v>
      </c>
      <c r="T24" s="16">
        <v>1.40331181588549E-2</v>
      </c>
      <c r="U24" s="14"/>
      <c r="V24" s="20">
        <v>239</v>
      </c>
      <c r="W24" s="20">
        <v>237</v>
      </c>
      <c r="X24" s="20">
        <v>240</v>
      </c>
      <c r="Y24" s="20">
        <v>239</v>
      </c>
      <c r="Z24" s="20">
        <v>236</v>
      </c>
      <c r="AA24" s="20">
        <v>238</v>
      </c>
      <c r="AB24" s="20">
        <v>239</v>
      </c>
      <c r="AC24" s="20">
        <v>239</v>
      </c>
      <c r="AD24" s="20">
        <v>234</v>
      </c>
      <c r="AE24" s="20">
        <v>225</v>
      </c>
      <c r="AF24" s="20">
        <v>235</v>
      </c>
      <c r="AG24" s="20">
        <v>237</v>
      </c>
      <c r="AH24" s="20">
        <v>238</v>
      </c>
      <c r="AI24" s="20">
        <v>237</v>
      </c>
      <c r="AJ24" s="20">
        <v>241</v>
      </c>
      <c r="AK24" s="20">
        <v>240</v>
      </c>
      <c r="AL24" s="20">
        <v>236</v>
      </c>
      <c r="AM24" s="20">
        <v>239</v>
      </c>
      <c r="AN24" s="20">
        <v>236</v>
      </c>
      <c r="AO24" s="20">
        <v>242</v>
      </c>
      <c r="AP24" s="20">
        <v>240</v>
      </c>
      <c r="AQ24" s="20">
        <v>240</v>
      </c>
      <c r="AR24" s="20">
        <v>240</v>
      </c>
      <c r="AS24" s="20">
        <v>241</v>
      </c>
      <c r="AT24" s="20">
        <v>239</v>
      </c>
      <c r="AU24" s="20">
        <v>240</v>
      </c>
      <c r="AV24" s="20">
        <v>236</v>
      </c>
      <c r="AW24" s="20">
        <v>239</v>
      </c>
      <c r="AX24" s="20">
        <v>237</v>
      </c>
      <c r="AY24" s="20">
        <v>240</v>
      </c>
      <c r="AZ24" s="20">
        <v>243</v>
      </c>
      <c r="BA24" s="20">
        <v>243</v>
      </c>
      <c r="BB24" s="20">
        <v>241</v>
      </c>
      <c r="BC24" s="20">
        <v>240</v>
      </c>
      <c r="BD24" s="20">
        <v>241</v>
      </c>
      <c r="BE24" s="20">
        <v>240</v>
      </c>
      <c r="BF24" s="20">
        <v>240</v>
      </c>
      <c r="BG24" s="20">
        <v>241</v>
      </c>
      <c r="BH24" s="20">
        <v>235</v>
      </c>
      <c r="BI24" s="20">
        <v>241</v>
      </c>
      <c r="BJ24" s="20">
        <v>240</v>
      </c>
      <c r="BK24" s="20">
        <v>239</v>
      </c>
      <c r="BL24" s="20">
        <v>240</v>
      </c>
      <c r="BM24" s="20">
        <v>239</v>
      </c>
      <c r="BN24" s="20">
        <v>240</v>
      </c>
      <c r="BO24" s="20">
        <v>242</v>
      </c>
      <c r="BP24" s="20">
        <v>236</v>
      </c>
      <c r="BQ24" s="20">
        <v>237</v>
      </c>
      <c r="BR24" s="20">
        <v>237</v>
      </c>
      <c r="BS24" s="20">
        <v>240</v>
      </c>
      <c r="BT24" s="20">
        <v>238</v>
      </c>
      <c r="BU24" s="20">
        <v>241</v>
      </c>
      <c r="BV24" s="20">
        <v>240</v>
      </c>
      <c r="BW24" s="20">
        <v>242</v>
      </c>
      <c r="BX24" s="20">
        <v>234</v>
      </c>
      <c r="BY24" s="20">
        <v>228</v>
      </c>
      <c r="BZ24" s="20">
        <v>228</v>
      </c>
      <c r="CA24" s="20">
        <v>224</v>
      </c>
      <c r="CB24" s="20">
        <v>221</v>
      </c>
      <c r="CC24" s="20">
        <v>222</v>
      </c>
    </row>
    <row r="25" spans="1:81" x14ac:dyDescent="0.25">
      <c r="A25" s="13" t="s">
        <v>259</v>
      </c>
      <c r="B25" s="14">
        <v>4</v>
      </c>
      <c r="C25" s="13" t="s">
        <v>260</v>
      </c>
      <c r="D25" s="15">
        <v>14294</v>
      </c>
      <c r="E25" s="16">
        <v>59.989665499999987</v>
      </c>
      <c r="F25" s="17">
        <v>0</v>
      </c>
      <c r="G25" s="13" t="s">
        <v>252</v>
      </c>
      <c r="H25" s="18">
        <v>238.2743741086538</v>
      </c>
      <c r="I25" s="16">
        <v>242.0164813223781</v>
      </c>
      <c r="J25" s="16">
        <v>190.7092553490132</v>
      </c>
      <c r="K25" s="16">
        <v>168.51086360048069</v>
      </c>
      <c r="L25" s="16">
        <v>171.94061435704131</v>
      </c>
      <c r="M25" s="16">
        <v>98.697196999605211</v>
      </c>
      <c r="N25" s="16">
        <v>42.411339095620598</v>
      </c>
      <c r="O25" s="16">
        <v>422.72573554277977</v>
      </c>
      <c r="P25" s="19">
        <v>4.1968424163984883</v>
      </c>
      <c r="Q25" s="19">
        <v>0.40298860700675299</v>
      </c>
      <c r="R25" s="16">
        <v>9.6021858107452331</v>
      </c>
      <c r="S25" s="16">
        <v>1.3992863639543831E-2</v>
      </c>
      <c r="T25" s="16">
        <v>1.399188470687002E-2</v>
      </c>
      <c r="U25" s="14"/>
      <c r="V25" s="20">
        <v>241</v>
      </c>
      <c r="W25" s="20">
        <v>239</v>
      </c>
      <c r="X25" s="20">
        <v>241</v>
      </c>
      <c r="Y25" s="20">
        <v>239</v>
      </c>
      <c r="Z25" s="20">
        <v>242</v>
      </c>
      <c r="AA25" s="20">
        <v>241</v>
      </c>
      <c r="AB25" s="20">
        <v>240</v>
      </c>
      <c r="AC25" s="20">
        <v>239</v>
      </c>
      <c r="AD25" s="20">
        <v>239</v>
      </c>
      <c r="AE25" s="20">
        <v>241</v>
      </c>
      <c r="AF25" s="20">
        <v>241</v>
      </c>
      <c r="AG25" s="20">
        <v>243</v>
      </c>
      <c r="AH25" s="20">
        <v>243</v>
      </c>
      <c r="AI25" s="20">
        <v>238</v>
      </c>
      <c r="AJ25" s="20">
        <v>239</v>
      </c>
      <c r="AK25" s="20">
        <v>241</v>
      </c>
      <c r="AL25" s="20">
        <v>240</v>
      </c>
      <c r="AM25" s="20">
        <v>241</v>
      </c>
      <c r="AN25" s="20">
        <v>242</v>
      </c>
      <c r="AO25" s="20">
        <v>243</v>
      </c>
      <c r="AP25" s="20">
        <v>241</v>
      </c>
      <c r="AQ25" s="20">
        <v>242</v>
      </c>
      <c r="AR25" s="20">
        <v>242</v>
      </c>
      <c r="AS25" s="20">
        <v>240</v>
      </c>
      <c r="AT25" s="20">
        <v>240</v>
      </c>
      <c r="AU25" s="20">
        <v>241</v>
      </c>
      <c r="AV25" s="20">
        <v>241</v>
      </c>
      <c r="AW25" s="20">
        <v>241</v>
      </c>
      <c r="AX25" s="20">
        <v>242</v>
      </c>
      <c r="AY25" s="20">
        <v>240</v>
      </c>
      <c r="AZ25" s="20">
        <v>242</v>
      </c>
      <c r="BA25" s="20">
        <v>242</v>
      </c>
      <c r="BB25" s="20">
        <v>242</v>
      </c>
      <c r="BC25" s="20">
        <v>240</v>
      </c>
      <c r="BD25" s="20">
        <v>239</v>
      </c>
      <c r="BE25" s="20">
        <v>232</v>
      </c>
      <c r="BF25" s="20">
        <v>241</v>
      </c>
      <c r="BG25" s="20">
        <v>239</v>
      </c>
      <c r="BH25" s="20">
        <v>234</v>
      </c>
      <c r="BI25" s="20">
        <v>239</v>
      </c>
      <c r="BJ25" s="20">
        <v>239</v>
      </c>
      <c r="BK25" s="20">
        <v>240</v>
      </c>
      <c r="BL25" s="20">
        <v>235</v>
      </c>
      <c r="BM25" s="20">
        <v>228</v>
      </c>
      <c r="BN25" s="20">
        <v>230</v>
      </c>
      <c r="BO25" s="20">
        <v>232</v>
      </c>
      <c r="BP25" s="20">
        <v>230</v>
      </c>
      <c r="BQ25" s="20">
        <v>220</v>
      </c>
      <c r="BR25" s="20">
        <v>232</v>
      </c>
      <c r="BS25" s="20">
        <v>239</v>
      </c>
      <c r="BT25" s="20">
        <v>238</v>
      </c>
      <c r="BU25" s="20">
        <v>238</v>
      </c>
      <c r="BV25" s="20">
        <v>238</v>
      </c>
      <c r="BW25" s="20">
        <v>236</v>
      </c>
      <c r="BX25" s="20">
        <v>234</v>
      </c>
      <c r="BY25" s="20">
        <v>238</v>
      </c>
      <c r="BZ25" s="20">
        <v>228</v>
      </c>
      <c r="CA25" s="20">
        <v>233</v>
      </c>
      <c r="CB25" s="20">
        <v>238</v>
      </c>
      <c r="CC25" s="20">
        <v>235</v>
      </c>
    </row>
    <row r="26" spans="1:81" x14ac:dyDescent="0.25">
      <c r="A26" s="13" t="s">
        <v>259</v>
      </c>
      <c r="B26" s="14">
        <v>5</v>
      </c>
      <c r="C26" s="13" t="s">
        <v>260</v>
      </c>
      <c r="D26" s="15">
        <v>14296</v>
      </c>
      <c r="E26" s="16">
        <v>60.005720799999999</v>
      </c>
      <c r="F26" s="17">
        <v>0</v>
      </c>
      <c r="G26" s="13" t="s">
        <v>252</v>
      </c>
      <c r="H26" s="18">
        <v>238.24395090009489</v>
      </c>
      <c r="I26" s="16">
        <v>242.0545590976206</v>
      </c>
      <c r="J26" s="16">
        <v>191.23932645509231</v>
      </c>
      <c r="K26" s="16">
        <v>166.62580168880089</v>
      </c>
      <c r="L26" s="16">
        <v>172.2136860534568</v>
      </c>
      <c r="M26" s="16">
        <v>98.521843934831082</v>
      </c>
      <c r="N26" s="16">
        <v>43.243056246243263</v>
      </c>
      <c r="O26" s="16">
        <v>430.34815165468859</v>
      </c>
      <c r="P26" s="19">
        <v>4.1973783435926126</v>
      </c>
      <c r="Q26" s="19">
        <v>0.40262852340036248</v>
      </c>
      <c r="R26" s="16">
        <v>9.5923810159973666</v>
      </c>
      <c r="S26" s="16">
        <v>2.098635886673662E-2</v>
      </c>
      <c r="T26" s="16">
        <v>6.9949636261891438E-3</v>
      </c>
      <c r="U26" s="14"/>
      <c r="V26" s="20">
        <v>241</v>
      </c>
      <c r="W26" s="20">
        <v>242</v>
      </c>
      <c r="X26" s="20">
        <v>237</v>
      </c>
      <c r="Y26" s="20">
        <v>231</v>
      </c>
      <c r="Z26" s="20">
        <v>232</v>
      </c>
      <c r="AA26" s="20">
        <v>240</v>
      </c>
      <c r="AB26" s="20">
        <v>240</v>
      </c>
      <c r="AC26" s="20">
        <v>239</v>
      </c>
      <c r="AD26" s="20">
        <v>238</v>
      </c>
      <c r="AE26" s="20">
        <v>235</v>
      </c>
      <c r="AF26" s="20">
        <v>239</v>
      </c>
      <c r="AG26" s="20">
        <v>237</v>
      </c>
      <c r="AH26" s="20">
        <v>238</v>
      </c>
      <c r="AI26" s="20">
        <v>238</v>
      </c>
      <c r="AJ26" s="20">
        <v>241</v>
      </c>
      <c r="AK26" s="20">
        <v>242</v>
      </c>
      <c r="AL26" s="20">
        <v>240</v>
      </c>
      <c r="AM26" s="20">
        <v>240</v>
      </c>
      <c r="AN26" s="20">
        <v>238</v>
      </c>
      <c r="AO26" s="20">
        <v>236</v>
      </c>
      <c r="AP26" s="20">
        <v>242</v>
      </c>
      <c r="AQ26" s="20">
        <v>238</v>
      </c>
      <c r="AR26" s="20">
        <v>241</v>
      </c>
      <c r="AS26" s="20">
        <v>240</v>
      </c>
      <c r="AT26" s="20">
        <v>237</v>
      </c>
      <c r="AU26" s="20">
        <v>237</v>
      </c>
      <c r="AV26" s="20">
        <v>236</v>
      </c>
      <c r="AW26" s="20">
        <v>236</v>
      </c>
      <c r="AX26" s="20">
        <v>238</v>
      </c>
      <c r="AY26" s="20">
        <v>235</v>
      </c>
      <c r="AZ26" s="20">
        <v>241</v>
      </c>
      <c r="BA26" s="20">
        <v>242</v>
      </c>
      <c r="BB26" s="20">
        <v>240</v>
      </c>
      <c r="BC26" s="20">
        <v>236</v>
      </c>
      <c r="BD26" s="20">
        <v>239</v>
      </c>
      <c r="BE26" s="20">
        <v>238</v>
      </c>
      <c r="BF26" s="20">
        <v>238</v>
      </c>
      <c r="BG26" s="20">
        <v>236</v>
      </c>
      <c r="BH26" s="20">
        <v>239</v>
      </c>
      <c r="BI26" s="20">
        <v>237</v>
      </c>
      <c r="BJ26" s="20">
        <v>239</v>
      </c>
      <c r="BK26" s="20">
        <v>240</v>
      </c>
      <c r="BL26" s="20">
        <v>236</v>
      </c>
      <c r="BM26" s="20">
        <v>223</v>
      </c>
      <c r="BN26" s="20">
        <v>238</v>
      </c>
      <c r="BO26" s="20">
        <v>239</v>
      </c>
      <c r="BP26" s="20">
        <v>242</v>
      </c>
      <c r="BQ26" s="20">
        <v>240</v>
      </c>
      <c r="BR26" s="20">
        <v>241</v>
      </c>
      <c r="BS26" s="20">
        <v>238</v>
      </c>
      <c r="BT26" s="20">
        <v>240</v>
      </c>
      <c r="BU26" s="20">
        <v>243</v>
      </c>
      <c r="BV26" s="20">
        <v>241</v>
      </c>
      <c r="BW26" s="20">
        <v>240</v>
      </c>
      <c r="BX26" s="20">
        <v>243</v>
      </c>
      <c r="BY26" s="20">
        <v>238</v>
      </c>
      <c r="BZ26" s="20">
        <v>237</v>
      </c>
      <c r="CA26" s="20">
        <v>237</v>
      </c>
      <c r="CB26" s="20">
        <v>235</v>
      </c>
      <c r="CC26" s="20">
        <v>235</v>
      </c>
    </row>
    <row r="27" spans="1:81" x14ac:dyDescent="0.25">
      <c r="A27" s="21" t="s">
        <v>261</v>
      </c>
      <c r="B27" s="22">
        <v>1</v>
      </c>
      <c r="C27" s="21" t="s">
        <v>262</v>
      </c>
      <c r="D27" s="23">
        <v>13726</v>
      </c>
      <c r="E27" s="24">
        <v>59.989611600000003</v>
      </c>
      <c r="F27" s="25">
        <v>0</v>
      </c>
      <c r="G27" s="21" t="s">
        <v>252</v>
      </c>
      <c r="H27" s="26">
        <v>228.8062821863644</v>
      </c>
      <c r="I27" s="24">
        <v>231.94053044799321</v>
      </c>
      <c r="J27" s="24">
        <v>177.69327475378381</v>
      </c>
      <c r="K27" s="24">
        <v>157.44659411527601</v>
      </c>
      <c r="L27" s="24">
        <v>158.58911196539981</v>
      </c>
      <c r="M27" s="24">
        <v>90.210099321319348</v>
      </c>
      <c r="N27" s="24">
        <v>42.364085422941848</v>
      </c>
      <c r="O27" s="24">
        <v>421.28322871466492</v>
      </c>
      <c r="P27" s="27">
        <v>4.370509369080577</v>
      </c>
      <c r="Q27" s="27">
        <v>0.47243738069964508</v>
      </c>
      <c r="R27" s="24">
        <v>10.80966406437499</v>
      </c>
      <c r="S27" s="24">
        <v>1.457194899817851E-2</v>
      </c>
      <c r="T27" s="24">
        <v>2.9141774734081301E-2</v>
      </c>
      <c r="U27" s="22"/>
      <c r="V27" s="28">
        <v>230</v>
      </c>
      <c r="W27" s="28">
        <v>229</v>
      </c>
      <c r="X27" s="28">
        <v>229</v>
      </c>
      <c r="Y27" s="28">
        <v>229</v>
      </c>
      <c r="Z27" s="28">
        <v>226</v>
      </c>
      <c r="AA27" s="28">
        <v>226</v>
      </c>
      <c r="AB27" s="28">
        <v>231</v>
      </c>
      <c r="AC27" s="28">
        <v>225</v>
      </c>
      <c r="AD27" s="28">
        <v>231</v>
      </c>
      <c r="AE27" s="28">
        <v>229</v>
      </c>
      <c r="AF27" s="28">
        <v>227</v>
      </c>
      <c r="AG27" s="28">
        <v>230</v>
      </c>
      <c r="AH27" s="28">
        <v>228</v>
      </c>
      <c r="AI27" s="28">
        <v>224</v>
      </c>
      <c r="AJ27" s="28">
        <v>229</v>
      </c>
      <c r="AK27" s="28">
        <v>230</v>
      </c>
      <c r="AL27" s="28">
        <v>229</v>
      </c>
      <c r="AM27" s="28">
        <v>225</v>
      </c>
      <c r="AN27" s="28">
        <v>229</v>
      </c>
      <c r="AO27" s="28">
        <v>228</v>
      </c>
      <c r="AP27" s="28">
        <v>228</v>
      </c>
      <c r="AQ27" s="28">
        <v>231</v>
      </c>
      <c r="AR27" s="28">
        <v>229</v>
      </c>
      <c r="AS27" s="28">
        <v>232</v>
      </c>
      <c r="AT27" s="28">
        <v>229</v>
      </c>
      <c r="AU27" s="28">
        <v>228</v>
      </c>
      <c r="AV27" s="28">
        <v>232</v>
      </c>
      <c r="AW27" s="28">
        <v>224</v>
      </c>
      <c r="AX27" s="28">
        <v>230</v>
      </c>
      <c r="AY27" s="28">
        <v>231</v>
      </c>
      <c r="AZ27" s="28">
        <v>232</v>
      </c>
      <c r="BA27" s="28">
        <v>229</v>
      </c>
      <c r="BB27" s="28">
        <v>229</v>
      </c>
      <c r="BC27" s="28">
        <v>229</v>
      </c>
      <c r="BD27" s="28">
        <v>230</v>
      </c>
      <c r="BE27" s="28">
        <v>227</v>
      </c>
      <c r="BF27" s="28">
        <v>231</v>
      </c>
      <c r="BG27" s="28">
        <v>225</v>
      </c>
      <c r="BH27" s="28">
        <v>225</v>
      </c>
      <c r="BI27" s="28">
        <v>230</v>
      </c>
      <c r="BJ27" s="28">
        <v>231</v>
      </c>
      <c r="BK27" s="28">
        <v>230</v>
      </c>
      <c r="BL27" s="28">
        <v>231</v>
      </c>
      <c r="BM27" s="28">
        <v>230</v>
      </c>
      <c r="BN27" s="28">
        <v>230</v>
      </c>
      <c r="BO27" s="28">
        <v>228</v>
      </c>
      <c r="BP27" s="28">
        <v>231</v>
      </c>
      <c r="BQ27" s="28">
        <v>224</v>
      </c>
      <c r="BR27" s="28">
        <v>230</v>
      </c>
      <c r="BS27" s="28">
        <v>228</v>
      </c>
      <c r="BT27" s="28">
        <v>229</v>
      </c>
      <c r="BU27" s="28">
        <v>231</v>
      </c>
      <c r="BV27" s="28">
        <v>230</v>
      </c>
      <c r="BW27" s="28">
        <v>228</v>
      </c>
      <c r="BX27" s="28">
        <v>231</v>
      </c>
      <c r="BY27" s="28">
        <v>228</v>
      </c>
      <c r="BZ27" s="28">
        <v>229</v>
      </c>
      <c r="CA27" s="28">
        <v>225</v>
      </c>
      <c r="CB27" s="28">
        <v>230</v>
      </c>
      <c r="CC27" s="28">
        <v>227</v>
      </c>
    </row>
    <row r="28" spans="1:81" x14ac:dyDescent="0.25">
      <c r="A28" s="21" t="s">
        <v>261</v>
      </c>
      <c r="B28" s="22">
        <v>2</v>
      </c>
      <c r="C28" s="21" t="s">
        <v>262</v>
      </c>
      <c r="D28" s="23">
        <v>14442</v>
      </c>
      <c r="E28" s="24">
        <v>59.991232500000002</v>
      </c>
      <c r="F28" s="25">
        <v>0</v>
      </c>
      <c r="G28" s="21" t="s">
        <v>252</v>
      </c>
      <c r="H28" s="26">
        <v>240.7351774278016</v>
      </c>
      <c r="I28" s="24">
        <v>244.6662752006263</v>
      </c>
      <c r="J28" s="24">
        <v>190.18848058803229</v>
      </c>
      <c r="K28" s="24">
        <v>169.91458682575049</v>
      </c>
      <c r="L28" s="24">
        <v>172.5925373974008</v>
      </c>
      <c r="M28" s="24">
        <v>108.4934903905766</v>
      </c>
      <c r="N28" s="24">
        <v>43.969573055445643</v>
      </c>
      <c r="O28" s="24">
        <v>422.33296731142832</v>
      </c>
      <c r="P28" s="27">
        <v>4.1539421479019527</v>
      </c>
      <c r="Q28" s="27">
        <v>0.39286987586370647</v>
      </c>
      <c r="R28" s="24">
        <v>9.4577599272087802</v>
      </c>
      <c r="S28" s="24">
        <v>1.3849456408835951E-2</v>
      </c>
      <c r="T28" s="24">
        <v>1.3848497438027969E-2</v>
      </c>
      <c r="U28" s="22"/>
      <c r="V28" s="28">
        <v>240</v>
      </c>
      <c r="W28" s="28">
        <v>234</v>
      </c>
      <c r="X28" s="28">
        <v>225</v>
      </c>
      <c r="Y28" s="28">
        <v>237</v>
      </c>
      <c r="Z28" s="28">
        <v>241</v>
      </c>
      <c r="AA28" s="28">
        <v>243</v>
      </c>
      <c r="AB28" s="28">
        <v>243</v>
      </c>
      <c r="AC28" s="28">
        <v>241</v>
      </c>
      <c r="AD28" s="28">
        <v>243</v>
      </c>
      <c r="AE28" s="28">
        <v>243</v>
      </c>
      <c r="AF28" s="28">
        <v>242</v>
      </c>
      <c r="AG28" s="28">
        <v>239</v>
      </c>
      <c r="AH28" s="28">
        <v>233</v>
      </c>
      <c r="AI28" s="28">
        <v>237</v>
      </c>
      <c r="AJ28" s="28">
        <v>239</v>
      </c>
      <c r="AK28" s="28">
        <v>244</v>
      </c>
      <c r="AL28" s="28">
        <v>244</v>
      </c>
      <c r="AM28" s="28">
        <v>241</v>
      </c>
      <c r="AN28" s="28">
        <v>243</v>
      </c>
      <c r="AO28" s="28">
        <v>242</v>
      </c>
      <c r="AP28" s="28">
        <v>240</v>
      </c>
      <c r="AQ28" s="28">
        <v>241</v>
      </c>
      <c r="AR28" s="28">
        <v>238</v>
      </c>
      <c r="AS28" s="28">
        <v>241</v>
      </c>
      <c r="AT28" s="28">
        <v>237</v>
      </c>
      <c r="AU28" s="28">
        <v>240</v>
      </c>
      <c r="AV28" s="28">
        <v>243</v>
      </c>
      <c r="AW28" s="28">
        <v>241</v>
      </c>
      <c r="AX28" s="28">
        <v>242</v>
      </c>
      <c r="AY28" s="28">
        <v>243</v>
      </c>
      <c r="AZ28" s="28">
        <v>242</v>
      </c>
      <c r="BA28" s="28">
        <v>243</v>
      </c>
      <c r="BB28" s="28">
        <v>241</v>
      </c>
      <c r="BC28" s="28">
        <v>241</v>
      </c>
      <c r="BD28" s="28">
        <v>242</v>
      </c>
      <c r="BE28" s="28">
        <v>241</v>
      </c>
      <c r="BF28" s="28">
        <v>239</v>
      </c>
      <c r="BG28" s="28">
        <v>244</v>
      </c>
      <c r="BH28" s="28">
        <v>243</v>
      </c>
      <c r="BI28" s="28">
        <v>242</v>
      </c>
      <c r="BJ28" s="28">
        <v>242</v>
      </c>
      <c r="BK28" s="28">
        <v>243</v>
      </c>
      <c r="BL28" s="28">
        <v>237</v>
      </c>
      <c r="BM28" s="28">
        <v>242</v>
      </c>
      <c r="BN28" s="28">
        <v>243</v>
      </c>
      <c r="BO28" s="28">
        <v>239</v>
      </c>
      <c r="BP28" s="28">
        <v>242</v>
      </c>
      <c r="BQ28" s="28">
        <v>241</v>
      </c>
      <c r="BR28" s="28">
        <v>241</v>
      </c>
      <c r="BS28" s="28">
        <v>243</v>
      </c>
      <c r="BT28" s="28">
        <v>242</v>
      </c>
      <c r="BU28" s="28">
        <v>240</v>
      </c>
      <c r="BV28" s="28">
        <v>236</v>
      </c>
      <c r="BW28" s="28">
        <v>240</v>
      </c>
      <c r="BX28" s="28">
        <v>240</v>
      </c>
      <c r="BY28" s="28">
        <v>242</v>
      </c>
      <c r="BZ28" s="28">
        <v>244</v>
      </c>
      <c r="CA28" s="28">
        <v>244</v>
      </c>
      <c r="CB28" s="28">
        <v>243</v>
      </c>
      <c r="CC28" s="28">
        <v>240</v>
      </c>
    </row>
    <row r="29" spans="1:81" x14ac:dyDescent="0.25">
      <c r="A29" s="21" t="s">
        <v>261</v>
      </c>
      <c r="B29" s="22">
        <v>3</v>
      </c>
      <c r="C29" s="21" t="s">
        <v>262</v>
      </c>
      <c r="D29" s="23">
        <v>14406</v>
      </c>
      <c r="E29" s="24">
        <v>59.983026299999999</v>
      </c>
      <c r="F29" s="25">
        <v>0</v>
      </c>
      <c r="G29" s="21" t="s">
        <v>252</v>
      </c>
      <c r="H29" s="26">
        <v>240.16794231003979</v>
      </c>
      <c r="I29" s="24">
        <v>244.36434724173739</v>
      </c>
      <c r="J29" s="24">
        <v>190.30292419473321</v>
      </c>
      <c r="K29" s="24">
        <v>167.7927517893838</v>
      </c>
      <c r="L29" s="24">
        <v>170.4483304089585</v>
      </c>
      <c r="M29" s="24">
        <v>93.973480683751049</v>
      </c>
      <c r="N29" s="24">
        <v>44.163759219184733</v>
      </c>
      <c r="O29" s="24">
        <v>507.33093196692198</v>
      </c>
      <c r="P29" s="27">
        <v>4.1637530403998344</v>
      </c>
      <c r="Q29" s="27">
        <v>0.40614839243345668</v>
      </c>
      <c r="R29" s="24">
        <v>9.7543823683273843</v>
      </c>
      <c r="S29" s="24">
        <v>2.7768136063866709E-2</v>
      </c>
      <c r="T29" s="24">
        <v>2.7766208524226021E-2</v>
      </c>
      <c r="U29" s="22"/>
      <c r="V29" s="28">
        <v>242</v>
      </c>
      <c r="W29" s="28">
        <v>241</v>
      </c>
      <c r="X29" s="28">
        <v>242</v>
      </c>
      <c r="Y29" s="28">
        <v>239</v>
      </c>
      <c r="Z29" s="28">
        <v>244</v>
      </c>
      <c r="AA29" s="28">
        <v>242</v>
      </c>
      <c r="AB29" s="28">
        <v>237</v>
      </c>
      <c r="AC29" s="28">
        <v>240</v>
      </c>
      <c r="AD29" s="28">
        <v>236</v>
      </c>
      <c r="AE29" s="28">
        <v>242</v>
      </c>
      <c r="AF29" s="28">
        <v>240</v>
      </c>
      <c r="AG29" s="28">
        <v>237</v>
      </c>
      <c r="AH29" s="28">
        <v>241</v>
      </c>
      <c r="AI29" s="28">
        <v>242</v>
      </c>
      <c r="AJ29" s="28">
        <v>241</v>
      </c>
      <c r="AK29" s="28">
        <v>240</v>
      </c>
      <c r="AL29" s="28">
        <v>241</v>
      </c>
      <c r="AM29" s="28">
        <v>239</v>
      </c>
      <c r="AN29" s="28">
        <v>236</v>
      </c>
      <c r="AO29" s="28">
        <v>240</v>
      </c>
      <c r="AP29" s="28">
        <v>242</v>
      </c>
      <c r="AQ29" s="28">
        <v>241</v>
      </c>
      <c r="AR29" s="28">
        <v>241</v>
      </c>
      <c r="AS29" s="28">
        <v>240</v>
      </c>
      <c r="AT29" s="28">
        <v>240</v>
      </c>
      <c r="AU29" s="28">
        <v>241</v>
      </c>
      <c r="AV29" s="28">
        <v>241</v>
      </c>
      <c r="AW29" s="28">
        <v>239</v>
      </c>
      <c r="AX29" s="28">
        <v>239</v>
      </c>
      <c r="AY29" s="28">
        <v>241</v>
      </c>
      <c r="AZ29" s="28">
        <v>240</v>
      </c>
      <c r="BA29" s="28">
        <v>241</v>
      </c>
      <c r="BB29" s="28">
        <v>242</v>
      </c>
      <c r="BC29" s="28">
        <v>240</v>
      </c>
      <c r="BD29" s="28">
        <v>242</v>
      </c>
      <c r="BE29" s="28">
        <v>240</v>
      </c>
      <c r="BF29" s="28">
        <v>241</v>
      </c>
      <c r="BG29" s="28">
        <v>243</v>
      </c>
      <c r="BH29" s="28">
        <v>235</v>
      </c>
      <c r="BI29" s="28">
        <v>240</v>
      </c>
      <c r="BJ29" s="28">
        <v>242</v>
      </c>
      <c r="BK29" s="28">
        <v>242</v>
      </c>
      <c r="BL29" s="28">
        <v>241</v>
      </c>
      <c r="BM29" s="28">
        <v>242</v>
      </c>
      <c r="BN29" s="28">
        <v>241</v>
      </c>
      <c r="BO29" s="28">
        <v>243</v>
      </c>
      <c r="BP29" s="28">
        <v>242</v>
      </c>
      <c r="BQ29" s="28">
        <v>242</v>
      </c>
      <c r="BR29" s="28">
        <v>237</v>
      </c>
      <c r="BS29" s="28">
        <v>241</v>
      </c>
      <c r="BT29" s="28">
        <v>231</v>
      </c>
      <c r="BU29" s="28">
        <v>241</v>
      </c>
      <c r="BV29" s="28">
        <v>242</v>
      </c>
      <c r="BW29" s="28">
        <v>243</v>
      </c>
      <c r="BX29" s="28">
        <v>240</v>
      </c>
      <c r="BY29" s="28">
        <v>242</v>
      </c>
      <c r="BZ29" s="28">
        <v>241</v>
      </c>
      <c r="CA29" s="28">
        <v>239</v>
      </c>
      <c r="CB29" s="28">
        <v>234</v>
      </c>
      <c r="CC29" s="28">
        <v>229</v>
      </c>
    </row>
    <row r="30" spans="1:81" x14ac:dyDescent="0.25">
      <c r="A30" s="21" t="s">
        <v>261</v>
      </c>
      <c r="B30" s="22">
        <v>4</v>
      </c>
      <c r="C30" s="21" t="s">
        <v>262</v>
      </c>
      <c r="D30" s="23">
        <v>14361</v>
      </c>
      <c r="E30" s="24">
        <v>59.977341899999999</v>
      </c>
      <c r="F30" s="25">
        <v>0</v>
      </c>
      <c r="G30" s="21" t="s">
        <v>252</v>
      </c>
      <c r="H30" s="26">
        <v>239.4404210834158</v>
      </c>
      <c r="I30" s="24">
        <v>243.5282370990916</v>
      </c>
      <c r="J30" s="24">
        <v>189.79221548248981</v>
      </c>
      <c r="K30" s="24">
        <v>169.02250230377601</v>
      </c>
      <c r="L30" s="24">
        <v>170.59343493524989</v>
      </c>
      <c r="M30" s="24">
        <v>97.854698819546144</v>
      </c>
      <c r="N30" s="24">
        <v>40.423803152248169</v>
      </c>
      <c r="O30" s="24">
        <v>396.21221126035113</v>
      </c>
      <c r="P30" s="27">
        <v>4.1764042824315846</v>
      </c>
      <c r="Q30" s="27">
        <v>0.41355935317431142</v>
      </c>
      <c r="R30" s="24">
        <v>9.9022825667042191</v>
      </c>
      <c r="S30" s="24">
        <v>6.9637883008356544E-3</v>
      </c>
      <c r="T30" s="24">
        <v>6.9633033911287506E-3</v>
      </c>
      <c r="U30" s="22"/>
      <c r="V30" s="28">
        <v>242</v>
      </c>
      <c r="W30" s="28">
        <v>241</v>
      </c>
      <c r="X30" s="28">
        <v>241</v>
      </c>
      <c r="Y30" s="28">
        <v>238</v>
      </c>
      <c r="Z30" s="28">
        <v>239</v>
      </c>
      <c r="AA30" s="28">
        <v>243</v>
      </c>
      <c r="AB30" s="28">
        <v>239</v>
      </c>
      <c r="AC30" s="28">
        <v>240</v>
      </c>
      <c r="AD30" s="28">
        <v>241</v>
      </c>
      <c r="AE30" s="28">
        <v>238</v>
      </c>
      <c r="AF30" s="28">
        <v>240</v>
      </c>
      <c r="AG30" s="28">
        <v>242</v>
      </c>
      <c r="AH30" s="28">
        <v>241</v>
      </c>
      <c r="AI30" s="28">
        <v>236</v>
      </c>
      <c r="AJ30" s="28">
        <v>240</v>
      </c>
      <c r="AK30" s="28">
        <v>241</v>
      </c>
      <c r="AL30" s="28">
        <v>243</v>
      </c>
      <c r="AM30" s="28">
        <v>240</v>
      </c>
      <c r="AN30" s="28">
        <v>240</v>
      </c>
      <c r="AO30" s="28">
        <v>240</v>
      </c>
      <c r="AP30" s="28">
        <v>240</v>
      </c>
      <c r="AQ30" s="28">
        <v>240</v>
      </c>
      <c r="AR30" s="28">
        <v>239</v>
      </c>
      <c r="AS30" s="28">
        <v>236</v>
      </c>
      <c r="AT30" s="28">
        <v>243</v>
      </c>
      <c r="AU30" s="28">
        <v>239</v>
      </c>
      <c r="AV30" s="28">
        <v>240</v>
      </c>
      <c r="AW30" s="28">
        <v>242</v>
      </c>
      <c r="AX30" s="28">
        <v>241</v>
      </c>
      <c r="AY30" s="28">
        <v>241</v>
      </c>
      <c r="AZ30" s="28">
        <v>241</v>
      </c>
      <c r="BA30" s="28">
        <v>242</v>
      </c>
      <c r="BB30" s="28">
        <v>244</v>
      </c>
      <c r="BC30" s="28">
        <v>236</v>
      </c>
      <c r="BD30" s="28">
        <v>241</v>
      </c>
      <c r="BE30" s="28">
        <v>241</v>
      </c>
      <c r="BF30" s="28">
        <v>238</v>
      </c>
      <c r="BG30" s="28">
        <v>234</v>
      </c>
      <c r="BH30" s="28">
        <v>240</v>
      </c>
      <c r="BI30" s="28">
        <v>241</v>
      </c>
      <c r="BJ30" s="28">
        <v>245</v>
      </c>
      <c r="BK30" s="28">
        <v>244</v>
      </c>
      <c r="BL30" s="28">
        <v>242</v>
      </c>
      <c r="BM30" s="28">
        <v>240</v>
      </c>
      <c r="BN30" s="28">
        <v>241</v>
      </c>
      <c r="BO30" s="28">
        <v>241</v>
      </c>
      <c r="BP30" s="28">
        <v>241</v>
      </c>
      <c r="BQ30" s="28">
        <v>241</v>
      </c>
      <c r="BR30" s="28">
        <v>243</v>
      </c>
      <c r="BS30" s="28">
        <v>244</v>
      </c>
      <c r="BT30" s="28">
        <v>240</v>
      </c>
      <c r="BU30" s="28">
        <v>241</v>
      </c>
      <c r="BV30" s="28">
        <v>229</v>
      </c>
      <c r="BW30" s="28">
        <v>228</v>
      </c>
      <c r="BX30" s="28">
        <v>230</v>
      </c>
      <c r="BY30" s="28">
        <v>231</v>
      </c>
      <c r="BZ30" s="28">
        <v>232</v>
      </c>
      <c r="CA30" s="28">
        <v>232</v>
      </c>
      <c r="CB30" s="28">
        <v>235</v>
      </c>
      <c r="CC30" s="28">
        <v>237</v>
      </c>
    </row>
    <row r="31" spans="1:81" x14ac:dyDescent="0.25">
      <c r="A31" s="21" t="s">
        <v>261</v>
      </c>
      <c r="B31" s="22">
        <v>5</v>
      </c>
      <c r="C31" s="21" t="s">
        <v>262</v>
      </c>
      <c r="D31" s="23">
        <v>14429</v>
      </c>
      <c r="E31" s="24">
        <v>59.991036299999998</v>
      </c>
      <c r="F31" s="25">
        <v>0</v>
      </c>
      <c r="G31" s="21" t="s">
        <v>252</v>
      </c>
      <c r="H31" s="26">
        <v>240.51926570903399</v>
      </c>
      <c r="I31" s="24">
        <v>244.17639302632219</v>
      </c>
      <c r="J31" s="24">
        <v>191.43504302694029</v>
      </c>
      <c r="K31" s="24">
        <v>168.0605157683093</v>
      </c>
      <c r="L31" s="24">
        <v>169.97778956882971</v>
      </c>
      <c r="M31" s="24">
        <v>92.915934308434444</v>
      </c>
      <c r="N31" s="24">
        <v>39.503987927581292</v>
      </c>
      <c r="O31" s="24">
        <v>469.10916170192797</v>
      </c>
      <c r="P31" s="27">
        <v>4.1576710998683204</v>
      </c>
      <c r="Q31" s="27">
        <v>0.40499957494395661</v>
      </c>
      <c r="R31" s="24">
        <v>9.7410200377991298</v>
      </c>
      <c r="S31" s="24">
        <v>1.386193512614361E-2</v>
      </c>
      <c r="T31" s="24">
        <v>1.3860974426502181E-2</v>
      </c>
      <c r="U31" s="22"/>
      <c r="V31" s="28">
        <v>242</v>
      </c>
      <c r="W31" s="28">
        <v>243</v>
      </c>
      <c r="X31" s="28">
        <v>241</v>
      </c>
      <c r="Y31" s="28">
        <v>243</v>
      </c>
      <c r="Z31" s="28">
        <v>241</v>
      </c>
      <c r="AA31" s="28">
        <v>242</v>
      </c>
      <c r="AB31" s="28">
        <v>243</v>
      </c>
      <c r="AC31" s="28">
        <v>234</v>
      </c>
      <c r="AD31" s="28">
        <v>240</v>
      </c>
      <c r="AE31" s="28">
        <v>236</v>
      </c>
      <c r="AF31" s="28">
        <v>241</v>
      </c>
      <c r="AG31" s="28">
        <v>245</v>
      </c>
      <c r="AH31" s="28">
        <v>239</v>
      </c>
      <c r="AI31" s="28">
        <v>242</v>
      </c>
      <c r="AJ31" s="28">
        <v>242</v>
      </c>
      <c r="AK31" s="28">
        <v>240</v>
      </c>
      <c r="AL31" s="28">
        <v>241</v>
      </c>
      <c r="AM31" s="28">
        <v>243</v>
      </c>
      <c r="AN31" s="28">
        <v>243</v>
      </c>
      <c r="AO31" s="28">
        <v>238</v>
      </c>
      <c r="AP31" s="28">
        <v>242</v>
      </c>
      <c r="AQ31" s="28">
        <v>241</v>
      </c>
      <c r="AR31" s="28">
        <v>242</v>
      </c>
      <c r="AS31" s="28">
        <v>232</v>
      </c>
      <c r="AT31" s="28">
        <v>239</v>
      </c>
      <c r="AU31" s="28">
        <v>241</v>
      </c>
      <c r="AV31" s="28">
        <v>241</v>
      </c>
      <c r="AW31" s="28">
        <v>242</v>
      </c>
      <c r="AX31" s="28">
        <v>241</v>
      </c>
      <c r="AY31" s="28">
        <v>237</v>
      </c>
      <c r="AZ31" s="28">
        <v>234</v>
      </c>
      <c r="BA31" s="28">
        <v>240</v>
      </c>
      <c r="BB31" s="28">
        <v>240</v>
      </c>
      <c r="BC31" s="28">
        <v>241</v>
      </c>
      <c r="BD31" s="28">
        <v>240</v>
      </c>
      <c r="BE31" s="28">
        <v>243</v>
      </c>
      <c r="BF31" s="28">
        <v>241</v>
      </c>
      <c r="BG31" s="28">
        <v>242</v>
      </c>
      <c r="BH31" s="28">
        <v>241</v>
      </c>
      <c r="BI31" s="28">
        <v>236</v>
      </c>
      <c r="BJ31" s="28">
        <v>240</v>
      </c>
      <c r="BK31" s="28">
        <v>242</v>
      </c>
      <c r="BL31" s="28">
        <v>241</v>
      </c>
      <c r="BM31" s="28">
        <v>243</v>
      </c>
      <c r="BN31" s="28">
        <v>241</v>
      </c>
      <c r="BO31" s="28">
        <v>236</v>
      </c>
      <c r="BP31" s="28">
        <v>242</v>
      </c>
      <c r="BQ31" s="28">
        <v>241</v>
      </c>
      <c r="BR31" s="28">
        <v>240</v>
      </c>
      <c r="BS31" s="28">
        <v>238</v>
      </c>
      <c r="BT31" s="28">
        <v>240</v>
      </c>
      <c r="BU31" s="28">
        <v>242</v>
      </c>
      <c r="BV31" s="28">
        <v>242</v>
      </c>
      <c r="BW31" s="28">
        <v>240</v>
      </c>
      <c r="BX31" s="28">
        <v>242</v>
      </c>
      <c r="BY31" s="28">
        <v>240</v>
      </c>
      <c r="BZ31" s="28">
        <v>243</v>
      </c>
      <c r="CA31" s="28">
        <v>243</v>
      </c>
      <c r="CB31" s="28">
        <v>241</v>
      </c>
      <c r="CC31" s="28">
        <v>237</v>
      </c>
    </row>
    <row r="32" spans="1:81" x14ac:dyDescent="0.25">
      <c r="A32" s="13" t="s">
        <v>263</v>
      </c>
      <c r="B32" s="14">
        <v>1</v>
      </c>
      <c r="C32" s="13" t="s">
        <v>264</v>
      </c>
      <c r="D32" s="15">
        <v>14318</v>
      </c>
      <c r="E32" s="16">
        <v>59.984369999999998</v>
      </c>
      <c r="F32" s="17">
        <v>0</v>
      </c>
      <c r="G32" s="13" t="s">
        <v>252</v>
      </c>
      <c r="H32" s="18">
        <v>238.6955135146039</v>
      </c>
      <c r="I32" s="16">
        <v>242.7537990969559</v>
      </c>
      <c r="J32" s="16">
        <v>188.24734194753171</v>
      </c>
      <c r="K32" s="16">
        <v>164.22458684460551</v>
      </c>
      <c r="L32" s="16">
        <v>165.52205407572399</v>
      </c>
      <c r="M32" s="16">
        <v>80.476938528495268</v>
      </c>
      <c r="N32" s="16">
        <v>38.184845198637561</v>
      </c>
      <c r="O32" s="16">
        <v>444.0497335701599</v>
      </c>
      <c r="P32" s="19">
        <v>4.1894377706383574</v>
      </c>
      <c r="Q32" s="19">
        <v>0.42536040266218927</v>
      </c>
      <c r="R32" s="16">
        <v>10.153161974222989</v>
      </c>
      <c r="S32" s="16">
        <v>2.793881399734581E-2</v>
      </c>
      <c r="T32" s="16">
        <v>2.0952647017739912E-2</v>
      </c>
      <c r="U32" s="14"/>
      <c r="V32" s="20">
        <v>240</v>
      </c>
      <c r="W32" s="20">
        <v>240</v>
      </c>
      <c r="X32" s="20">
        <v>240</v>
      </c>
      <c r="Y32" s="20">
        <v>234</v>
      </c>
      <c r="Z32" s="20">
        <v>239</v>
      </c>
      <c r="AA32" s="20">
        <v>240</v>
      </c>
      <c r="AB32" s="20">
        <v>238</v>
      </c>
      <c r="AC32" s="20">
        <v>240</v>
      </c>
      <c r="AD32" s="20">
        <v>241</v>
      </c>
      <c r="AE32" s="20">
        <v>239</v>
      </c>
      <c r="AF32" s="20">
        <v>240</v>
      </c>
      <c r="AG32" s="20">
        <v>238</v>
      </c>
      <c r="AH32" s="20">
        <v>237</v>
      </c>
      <c r="AI32" s="20">
        <v>239</v>
      </c>
      <c r="AJ32" s="20">
        <v>238</v>
      </c>
      <c r="AK32" s="20">
        <v>243</v>
      </c>
      <c r="AL32" s="20">
        <v>237</v>
      </c>
      <c r="AM32" s="20">
        <v>237</v>
      </c>
      <c r="AN32" s="20">
        <v>241</v>
      </c>
      <c r="AO32" s="20">
        <v>241</v>
      </c>
      <c r="AP32" s="20">
        <v>241</v>
      </c>
      <c r="AQ32" s="20">
        <v>241</v>
      </c>
      <c r="AR32" s="20">
        <v>240</v>
      </c>
      <c r="AS32" s="20">
        <v>241</v>
      </c>
      <c r="AT32" s="20">
        <v>241</v>
      </c>
      <c r="AU32" s="20">
        <v>242</v>
      </c>
      <c r="AV32" s="20">
        <v>236</v>
      </c>
      <c r="AW32" s="20">
        <v>238</v>
      </c>
      <c r="AX32" s="20">
        <v>240</v>
      </c>
      <c r="AY32" s="20">
        <v>239</v>
      </c>
      <c r="AZ32" s="20">
        <v>240</v>
      </c>
      <c r="BA32" s="20">
        <v>237</v>
      </c>
      <c r="BB32" s="20">
        <v>237</v>
      </c>
      <c r="BC32" s="20">
        <v>240</v>
      </c>
      <c r="BD32" s="20">
        <v>242</v>
      </c>
      <c r="BE32" s="20">
        <v>240</v>
      </c>
      <c r="BF32" s="20">
        <v>239</v>
      </c>
      <c r="BG32" s="20">
        <v>237</v>
      </c>
      <c r="BH32" s="20">
        <v>229</v>
      </c>
      <c r="BI32" s="20">
        <v>240</v>
      </c>
      <c r="BJ32" s="20">
        <v>242</v>
      </c>
      <c r="BK32" s="20">
        <v>240</v>
      </c>
      <c r="BL32" s="20">
        <v>239</v>
      </c>
      <c r="BM32" s="20">
        <v>240</v>
      </c>
      <c r="BN32" s="20">
        <v>241</v>
      </c>
      <c r="BO32" s="20">
        <v>240</v>
      </c>
      <c r="BP32" s="20">
        <v>236</v>
      </c>
      <c r="BQ32" s="20">
        <v>215</v>
      </c>
      <c r="BR32" s="20">
        <v>239</v>
      </c>
      <c r="BS32" s="20">
        <v>244</v>
      </c>
      <c r="BT32" s="20">
        <v>238</v>
      </c>
      <c r="BU32" s="20">
        <v>240</v>
      </c>
      <c r="BV32" s="20">
        <v>239</v>
      </c>
      <c r="BW32" s="20">
        <v>241</v>
      </c>
      <c r="BX32" s="20">
        <v>240</v>
      </c>
      <c r="BY32" s="20">
        <v>239</v>
      </c>
      <c r="BZ32" s="20">
        <v>237</v>
      </c>
      <c r="CA32" s="20">
        <v>235</v>
      </c>
      <c r="CB32" s="20">
        <v>237</v>
      </c>
      <c r="CC32" s="20">
        <v>234</v>
      </c>
    </row>
    <row r="33" spans="1:81" x14ac:dyDescent="0.25">
      <c r="A33" s="13" t="s">
        <v>263</v>
      </c>
      <c r="B33" s="14">
        <v>2</v>
      </c>
      <c r="C33" s="13" t="s">
        <v>264</v>
      </c>
      <c r="D33" s="15">
        <v>14203</v>
      </c>
      <c r="E33" s="16">
        <v>59.985247899999997</v>
      </c>
      <c r="F33" s="17">
        <v>0</v>
      </c>
      <c r="G33" s="13" t="s">
        <v>252</v>
      </c>
      <c r="H33" s="18">
        <v>236.77488211230681</v>
      </c>
      <c r="I33" s="16">
        <v>240.78399268016659</v>
      </c>
      <c r="J33" s="16">
        <v>187.0268454593436</v>
      </c>
      <c r="K33" s="16">
        <v>161.03350012109621</v>
      </c>
      <c r="L33" s="16">
        <v>165.58690207604579</v>
      </c>
      <c r="M33" s="16">
        <v>92.655506825622325</v>
      </c>
      <c r="N33" s="16">
        <v>43.367767340601773</v>
      </c>
      <c r="O33" s="16">
        <v>374.70023980815353</v>
      </c>
      <c r="P33" s="19">
        <v>4.2234209603604871</v>
      </c>
      <c r="Q33" s="19">
        <v>0.43035216279540173</v>
      </c>
      <c r="R33" s="16">
        <v>10.18965826126575</v>
      </c>
      <c r="S33" s="16">
        <v>7.041261794113505E-3</v>
      </c>
      <c r="T33" s="16">
        <v>2.112229810603394E-2</v>
      </c>
      <c r="U33" s="14"/>
      <c r="V33" s="20">
        <v>239</v>
      </c>
      <c r="W33" s="20">
        <v>241</v>
      </c>
      <c r="X33" s="20">
        <v>235</v>
      </c>
      <c r="Y33" s="20">
        <v>237</v>
      </c>
      <c r="Z33" s="20">
        <v>231</v>
      </c>
      <c r="AA33" s="20">
        <v>240</v>
      </c>
      <c r="AB33" s="20">
        <v>241</v>
      </c>
      <c r="AC33" s="20">
        <v>238</v>
      </c>
      <c r="AD33" s="20">
        <v>240</v>
      </c>
      <c r="AE33" s="20">
        <v>236</v>
      </c>
      <c r="AF33" s="20">
        <v>239</v>
      </c>
      <c r="AG33" s="20">
        <v>238</v>
      </c>
      <c r="AH33" s="20">
        <v>236</v>
      </c>
      <c r="AI33" s="20">
        <v>237</v>
      </c>
      <c r="AJ33" s="20">
        <v>236</v>
      </c>
      <c r="AK33" s="20">
        <v>239</v>
      </c>
      <c r="AL33" s="20">
        <v>234</v>
      </c>
      <c r="AM33" s="20">
        <v>239</v>
      </c>
      <c r="AN33" s="20">
        <v>240</v>
      </c>
      <c r="AO33" s="20">
        <v>241</v>
      </c>
      <c r="AP33" s="20">
        <v>239</v>
      </c>
      <c r="AQ33" s="20">
        <v>239</v>
      </c>
      <c r="AR33" s="20">
        <v>234</v>
      </c>
      <c r="AS33" s="20">
        <v>238</v>
      </c>
      <c r="AT33" s="20">
        <v>239</v>
      </c>
      <c r="AU33" s="20">
        <v>237</v>
      </c>
      <c r="AV33" s="20">
        <v>237</v>
      </c>
      <c r="AW33" s="20">
        <v>237</v>
      </c>
      <c r="AX33" s="20">
        <v>238</v>
      </c>
      <c r="AY33" s="20">
        <v>240</v>
      </c>
      <c r="AZ33" s="20">
        <v>239</v>
      </c>
      <c r="BA33" s="20">
        <v>237</v>
      </c>
      <c r="BB33" s="20">
        <v>236</v>
      </c>
      <c r="BC33" s="20">
        <v>238</v>
      </c>
      <c r="BD33" s="20">
        <v>236</v>
      </c>
      <c r="BE33" s="20">
        <v>240</v>
      </c>
      <c r="BF33" s="20">
        <v>235</v>
      </c>
      <c r="BG33" s="20">
        <v>239</v>
      </c>
      <c r="BH33" s="20">
        <v>235</v>
      </c>
      <c r="BI33" s="20">
        <v>237</v>
      </c>
      <c r="BJ33" s="20">
        <v>234</v>
      </c>
      <c r="BK33" s="20">
        <v>237</v>
      </c>
      <c r="BL33" s="20">
        <v>234</v>
      </c>
      <c r="BM33" s="20">
        <v>238</v>
      </c>
      <c r="BN33" s="20">
        <v>237</v>
      </c>
      <c r="BO33" s="20">
        <v>240</v>
      </c>
      <c r="BP33" s="20">
        <v>240</v>
      </c>
      <c r="BQ33" s="20">
        <v>239</v>
      </c>
      <c r="BR33" s="20">
        <v>239</v>
      </c>
      <c r="BS33" s="20">
        <v>239</v>
      </c>
      <c r="BT33" s="20">
        <v>239</v>
      </c>
      <c r="BU33" s="20">
        <v>234</v>
      </c>
      <c r="BV33" s="20">
        <v>237</v>
      </c>
      <c r="BW33" s="20">
        <v>240</v>
      </c>
      <c r="BX33" s="20">
        <v>241</v>
      </c>
      <c r="BY33" s="20">
        <v>228</v>
      </c>
      <c r="BZ33" s="20">
        <v>223</v>
      </c>
      <c r="CA33" s="20">
        <v>214</v>
      </c>
      <c r="CB33" s="20">
        <v>228</v>
      </c>
      <c r="CC33" s="20">
        <v>235</v>
      </c>
    </row>
    <row r="34" spans="1:81" x14ac:dyDescent="0.25">
      <c r="A34" s="13" t="s">
        <v>263</v>
      </c>
      <c r="B34" s="14">
        <v>3</v>
      </c>
      <c r="C34" s="13" t="s">
        <v>264</v>
      </c>
      <c r="D34" s="15">
        <v>14229</v>
      </c>
      <c r="E34" s="16">
        <v>60.007415600000009</v>
      </c>
      <c r="F34" s="17">
        <v>0</v>
      </c>
      <c r="G34" s="13" t="s">
        <v>252</v>
      </c>
      <c r="H34" s="18">
        <v>237.12069346309261</v>
      </c>
      <c r="I34" s="16">
        <v>241.18469924268001</v>
      </c>
      <c r="J34" s="16">
        <v>187.9235797487537</v>
      </c>
      <c r="K34" s="16">
        <v>168.7416945337944</v>
      </c>
      <c r="L34" s="16">
        <v>169.08317466590319</v>
      </c>
      <c r="M34" s="16">
        <v>93.278361285748943</v>
      </c>
      <c r="N34" s="16">
        <v>43.949475682755107</v>
      </c>
      <c r="O34" s="16">
        <v>420.38002354128128</v>
      </c>
      <c r="P34" s="19">
        <v>4.2172616206339173</v>
      </c>
      <c r="Q34" s="19">
        <v>0.42227659539544432</v>
      </c>
      <c r="R34" s="16">
        <v>10.013051913340149</v>
      </c>
      <c r="S34" s="16">
        <v>1.405678942929435E-2</v>
      </c>
      <c r="T34" s="16">
        <v>2.1083702298123549E-2</v>
      </c>
      <c r="U34" s="14"/>
      <c r="V34" s="20">
        <v>238</v>
      </c>
      <c r="W34" s="20">
        <v>236</v>
      </c>
      <c r="X34" s="20">
        <v>236</v>
      </c>
      <c r="Y34" s="20">
        <v>238</v>
      </c>
      <c r="Z34" s="20">
        <v>240</v>
      </c>
      <c r="AA34" s="20">
        <v>241</v>
      </c>
      <c r="AB34" s="20">
        <v>242</v>
      </c>
      <c r="AC34" s="20">
        <v>236</v>
      </c>
      <c r="AD34" s="20">
        <v>236</v>
      </c>
      <c r="AE34" s="20">
        <v>240</v>
      </c>
      <c r="AF34" s="20">
        <v>238</v>
      </c>
      <c r="AG34" s="20">
        <v>241</v>
      </c>
      <c r="AH34" s="20">
        <v>237</v>
      </c>
      <c r="AI34" s="20">
        <v>239</v>
      </c>
      <c r="AJ34" s="20">
        <v>235</v>
      </c>
      <c r="AK34" s="20">
        <v>238</v>
      </c>
      <c r="AL34" s="20">
        <v>238</v>
      </c>
      <c r="AM34" s="20">
        <v>236</v>
      </c>
      <c r="AN34" s="20">
        <v>235</v>
      </c>
      <c r="AO34" s="20">
        <v>239</v>
      </c>
      <c r="AP34" s="20">
        <v>239</v>
      </c>
      <c r="AQ34" s="20">
        <v>238</v>
      </c>
      <c r="AR34" s="20">
        <v>234</v>
      </c>
      <c r="AS34" s="20">
        <v>239</v>
      </c>
      <c r="AT34" s="20">
        <v>239</v>
      </c>
      <c r="AU34" s="20">
        <v>241</v>
      </c>
      <c r="AV34" s="20">
        <v>238</v>
      </c>
      <c r="AW34" s="20">
        <v>239</v>
      </c>
      <c r="AX34" s="20">
        <v>235</v>
      </c>
      <c r="AY34" s="20">
        <v>239</v>
      </c>
      <c r="AZ34" s="20">
        <v>238</v>
      </c>
      <c r="BA34" s="20">
        <v>239</v>
      </c>
      <c r="BB34" s="20">
        <v>240</v>
      </c>
      <c r="BC34" s="20">
        <v>242</v>
      </c>
      <c r="BD34" s="20">
        <v>238</v>
      </c>
      <c r="BE34" s="20">
        <v>239</v>
      </c>
      <c r="BF34" s="20">
        <v>241</v>
      </c>
      <c r="BG34" s="20">
        <v>234</v>
      </c>
      <c r="BH34" s="20">
        <v>236</v>
      </c>
      <c r="BI34" s="20">
        <v>240</v>
      </c>
      <c r="BJ34" s="20">
        <v>236</v>
      </c>
      <c r="BK34" s="20">
        <v>240</v>
      </c>
      <c r="BL34" s="20">
        <v>232</v>
      </c>
      <c r="BM34" s="20">
        <v>226</v>
      </c>
      <c r="BN34" s="20">
        <v>230</v>
      </c>
      <c r="BO34" s="20">
        <v>228</v>
      </c>
      <c r="BP34" s="20">
        <v>231</v>
      </c>
      <c r="BQ34" s="20">
        <v>228</v>
      </c>
      <c r="BR34" s="20">
        <v>234</v>
      </c>
      <c r="BS34" s="20">
        <v>240</v>
      </c>
      <c r="BT34" s="20">
        <v>236</v>
      </c>
      <c r="BU34" s="20">
        <v>237</v>
      </c>
      <c r="BV34" s="20">
        <v>240</v>
      </c>
      <c r="BW34" s="20">
        <v>240</v>
      </c>
      <c r="BX34" s="20">
        <v>237</v>
      </c>
      <c r="BY34" s="20">
        <v>238</v>
      </c>
      <c r="BZ34" s="20">
        <v>238</v>
      </c>
      <c r="CA34" s="20">
        <v>231</v>
      </c>
      <c r="CB34" s="20">
        <v>239</v>
      </c>
      <c r="CC34" s="20">
        <v>239</v>
      </c>
    </row>
    <row r="35" spans="1:81" x14ac:dyDescent="0.25">
      <c r="A35" s="13" t="s">
        <v>263</v>
      </c>
      <c r="B35" s="14">
        <v>4</v>
      </c>
      <c r="C35" s="13" t="s">
        <v>264</v>
      </c>
      <c r="D35" s="15">
        <v>14235</v>
      </c>
      <c r="E35" s="16">
        <v>60.012330599999991</v>
      </c>
      <c r="F35" s="17">
        <v>0</v>
      </c>
      <c r="G35" s="13" t="s">
        <v>252</v>
      </c>
      <c r="H35" s="18">
        <v>237.20125277054319</v>
      </c>
      <c r="I35" s="16">
        <v>241.44674891952579</v>
      </c>
      <c r="J35" s="16">
        <v>188.38543509311711</v>
      </c>
      <c r="K35" s="16">
        <v>165.79740743920169</v>
      </c>
      <c r="L35" s="16">
        <v>166.8370552037386</v>
      </c>
      <c r="M35" s="16">
        <v>82.740634587571037</v>
      </c>
      <c r="N35" s="16">
        <v>44.79283314669653</v>
      </c>
      <c r="O35" s="16">
        <v>475.26258257687368</v>
      </c>
      <c r="P35" s="19">
        <v>4.2158293361433081</v>
      </c>
      <c r="Q35" s="19">
        <v>0.42651532956889032</v>
      </c>
      <c r="R35" s="16">
        <v>10.11699704995819</v>
      </c>
      <c r="S35" s="16">
        <v>3.5127160320359702E-2</v>
      </c>
      <c r="T35" s="16">
        <v>3.5124692658939242E-2</v>
      </c>
      <c r="U35" s="14"/>
      <c r="V35" s="20">
        <v>240</v>
      </c>
      <c r="W35" s="20">
        <v>238</v>
      </c>
      <c r="X35" s="20">
        <v>239</v>
      </c>
      <c r="Y35" s="20">
        <v>235</v>
      </c>
      <c r="Z35" s="20">
        <v>240</v>
      </c>
      <c r="AA35" s="20">
        <v>241</v>
      </c>
      <c r="AB35" s="20">
        <v>238</v>
      </c>
      <c r="AC35" s="20">
        <v>240</v>
      </c>
      <c r="AD35" s="20">
        <v>237</v>
      </c>
      <c r="AE35" s="20">
        <v>239</v>
      </c>
      <c r="AF35" s="20">
        <v>238</v>
      </c>
      <c r="AG35" s="20">
        <v>238</v>
      </c>
      <c r="AH35" s="20">
        <v>231</v>
      </c>
      <c r="AI35" s="20">
        <v>228</v>
      </c>
      <c r="AJ35" s="20">
        <v>239</v>
      </c>
      <c r="AK35" s="20">
        <v>237</v>
      </c>
      <c r="AL35" s="20">
        <v>240</v>
      </c>
      <c r="AM35" s="20">
        <v>240</v>
      </c>
      <c r="AN35" s="20">
        <v>236</v>
      </c>
      <c r="AO35" s="20">
        <v>238</v>
      </c>
      <c r="AP35" s="20">
        <v>240</v>
      </c>
      <c r="AQ35" s="20">
        <v>240</v>
      </c>
      <c r="AR35" s="20">
        <v>241</v>
      </c>
      <c r="AS35" s="20">
        <v>235</v>
      </c>
      <c r="AT35" s="20">
        <v>235</v>
      </c>
      <c r="AU35" s="20">
        <v>239</v>
      </c>
      <c r="AV35" s="20">
        <v>240</v>
      </c>
      <c r="AW35" s="20">
        <v>239</v>
      </c>
      <c r="AX35" s="20">
        <v>239</v>
      </c>
      <c r="AY35" s="20">
        <v>238</v>
      </c>
      <c r="AZ35" s="20">
        <v>235</v>
      </c>
      <c r="BA35" s="20">
        <v>240</v>
      </c>
      <c r="BB35" s="20">
        <v>235</v>
      </c>
      <c r="BC35" s="20">
        <v>231</v>
      </c>
      <c r="BD35" s="20">
        <v>238</v>
      </c>
      <c r="BE35" s="20">
        <v>238</v>
      </c>
      <c r="BF35" s="20">
        <v>239</v>
      </c>
      <c r="BG35" s="20">
        <v>241</v>
      </c>
      <c r="BH35" s="20">
        <v>236</v>
      </c>
      <c r="BI35" s="20">
        <v>236</v>
      </c>
      <c r="BJ35" s="20">
        <v>238</v>
      </c>
      <c r="BK35" s="20">
        <v>238</v>
      </c>
      <c r="BL35" s="20">
        <v>236</v>
      </c>
      <c r="BM35" s="20">
        <v>234</v>
      </c>
      <c r="BN35" s="20">
        <v>237</v>
      </c>
      <c r="BO35" s="20">
        <v>239</v>
      </c>
      <c r="BP35" s="20">
        <v>239</v>
      </c>
      <c r="BQ35" s="20">
        <v>235</v>
      </c>
      <c r="BR35" s="20">
        <v>232</v>
      </c>
      <c r="BS35" s="20">
        <v>236</v>
      </c>
      <c r="BT35" s="20">
        <v>239</v>
      </c>
      <c r="BU35" s="20">
        <v>236</v>
      </c>
      <c r="BV35" s="20">
        <v>236</v>
      </c>
      <c r="BW35" s="20">
        <v>233</v>
      </c>
      <c r="BX35" s="20">
        <v>236</v>
      </c>
      <c r="BY35" s="20">
        <v>239</v>
      </c>
      <c r="BZ35" s="20">
        <v>235</v>
      </c>
      <c r="CA35" s="20">
        <v>234</v>
      </c>
      <c r="CB35" s="20">
        <v>237</v>
      </c>
      <c r="CC35" s="20">
        <v>236</v>
      </c>
    </row>
    <row r="36" spans="1:81" x14ac:dyDescent="0.25">
      <c r="A36" s="13" t="s">
        <v>263</v>
      </c>
      <c r="B36" s="14">
        <v>5</v>
      </c>
      <c r="C36" s="13" t="s">
        <v>264</v>
      </c>
      <c r="D36" s="15">
        <v>14180</v>
      </c>
      <c r="E36" s="16">
        <v>59.985516700000012</v>
      </c>
      <c r="F36" s="17">
        <v>0</v>
      </c>
      <c r="G36" s="13" t="s">
        <v>252</v>
      </c>
      <c r="H36" s="18">
        <v>236.39039521685069</v>
      </c>
      <c r="I36" s="16">
        <v>240.56098822453961</v>
      </c>
      <c r="J36" s="16">
        <v>185.8839712251613</v>
      </c>
      <c r="K36" s="16">
        <v>158.44589673136531</v>
      </c>
      <c r="L36" s="16">
        <v>164.77017307026239</v>
      </c>
      <c r="M36" s="16">
        <v>94.928597872966549</v>
      </c>
      <c r="N36" s="16">
        <v>42.855000107137514</v>
      </c>
      <c r="O36" s="16">
        <v>331.08197589723221</v>
      </c>
      <c r="P36" s="19">
        <v>4.2302903173483788</v>
      </c>
      <c r="Q36" s="19">
        <v>0.4351133251494233</v>
      </c>
      <c r="R36" s="16">
        <v>10.285661089619021</v>
      </c>
      <c r="S36" s="16">
        <v>1.4105367092178569E-2</v>
      </c>
      <c r="T36" s="16">
        <v>1.4104372355430181E-2</v>
      </c>
      <c r="U36" s="14"/>
      <c r="V36" s="20">
        <v>238</v>
      </c>
      <c r="W36" s="20">
        <v>238</v>
      </c>
      <c r="X36" s="20">
        <v>238</v>
      </c>
      <c r="Y36" s="20">
        <v>242</v>
      </c>
      <c r="Z36" s="20">
        <v>238</v>
      </c>
      <c r="AA36" s="20">
        <v>239</v>
      </c>
      <c r="AB36" s="20">
        <v>240</v>
      </c>
      <c r="AC36" s="20">
        <v>238</v>
      </c>
      <c r="AD36" s="20">
        <v>232</v>
      </c>
      <c r="AE36" s="20">
        <v>236</v>
      </c>
      <c r="AF36" s="20">
        <v>233</v>
      </c>
      <c r="AG36" s="20">
        <v>239</v>
      </c>
      <c r="AH36" s="20">
        <v>236</v>
      </c>
      <c r="AI36" s="20">
        <v>237</v>
      </c>
      <c r="AJ36" s="20">
        <v>233</v>
      </c>
      <c r="AK36" s="20">
        <v>238</v>
      </c>
      <c r="AL36" s="20">
        <v>237</v>
      </c>
      <c r="AM36" s="20">
        <v>236</v>
      </c>
      <c r="AN36" s="20">
        <v>235</v>
      </c>
      <c r="AO36" s="20">
        <v>237</v>
      </c>
      <c r="AP36" s="20">
        <v>239</v>
      </c>
      <c r="AQ36" s="20">
        <v>240</v>
      </c>
      <c r="AR36" s="20">
        <v>238</v>
      </c>
      <c r="AS36" s="20">
        <v>229</v>
      </c>
      <c r="AT36" s="20">
        <v>235</v>
      </c>
      <c r="AU36" s="20">
        <v>239</v>
      </c>
      <c r="AV36" s="20">
        <v>239</v>
      </c>
      <c r="AW36" s="20">
        <v>236</v>
      </c>
      <c r="AX36" s="20">
        <v>235</v>
      </c>
      <c r="AY36" s="20">
        <v>240</v>
      </c>
      <c r="AZ36" s="20">
        <v>235</v>
      </c>
      <c r="BA36" s="20">
        <v>234</v>
      </c>
      <c r="BB36" s="20">
        <v>239</v>
      </c>
      <c r="BC36" s="20">
        <v>234</v>
      </c>
      <c r="BD36" s="20">
        <v>239</v>
      </c>
      <c r="BE36" s="20">
        <v>239</v>
      </c>
      <c r="BF36" s="20">
        <v>239</v>
      </c>
      <c r="BG36" s="20">
        <v>235</v>
      </c>
      <c r="BH36" s="20">
        <v>234</v>
      </c>
      <c r="BI36" s="20">
        <v>236</v>
      </c>
      <c r="BJ36" s="20">
        <v>238</v>
      </c>
      <c r="BK36" s="20">
        <v>237</v>
      </c>
      <c r="BL36" s="20">
        <v>226</v>
      </c>
      <c r="BM36" s="20">
        <v>221</v>
      </c>
      <c r="BN36" s="20">
        <v>230</v>
      </c>
      <c r="BO36" s="20">
        <v>228</v>
      </c>
      <c r="BP36" s="20">
        <v>236</v>
      </c>
      <c r="BQ36" s="20">
        <v>228</v>
      </c>
      <c r="BR36" s="20">
        <v>223</v>
      </c>
      <c r="BS36" s="20">
        <v>236</v>
      </c>
      <c r="BT36" s="20">
        <v>242</v>
      </c>
      <c r="BU36" s="20">
        <v>241</v>
      </c>
      <c r="BV36" s="20">
        <v>242</v>
      </c>
      <c r="BW36" s="20">
        <v>240</v>
      </c>
      <c r="BX36" s="20">
        <v>240</v>
      </c>
      <c r="BY36" s="20">
        <v>241</v>
      </c>
      <c r="BZ36" s="20">
        <v>241</v>
      </c>
      <c r="CA36" s="20">
        <v>241</v>
      </c>
      <c r="CB36" s="20">
        <v>238</v>
      </c>
      <c r="CC36" s="20">
        <v>237</v>
      </c>
    </row>
    <row r="37" spans="1:81" x14ac:dyDescent="0.25">
      <c r="A37" s="21" t="s">
        <v>265</v>
      </c>
      <c r="B37" s="22">
        <v>1</v>
      </c>
      <c r="C37" s="21" t="s">
        <v>266</v>
      </c>
      <c r="D37" s="23">
        <v>13868</v>
      </c>
      <c r="E37" s="24">
        <v>59.982592199999999</v>
      </c>
      <c r="F37" s="25">
        <v>0</v>
      </c>
      <c r="G37" s="21" t="s">
        <v>252</v>
      </c>
      <c r="H37" s="26">
        <v>231.20041150872439</v>
      </c>
      <c r="I37" s="24">
        <v>235.8963471450644</v>
      </c>
      <c r="J37" s="24">
        <v>168.6776984130465</v>
      </c>
      <c r="K37" s="24">
        <v>137.12707640218741</v>
      </c>
      <c r="L37" s="24">
        <v>143.3592813632601</v>
      </c>
      <c r="M37" s="24">
        <v>77.076874933521196</v>
      </c>
      <c r="N37" s="24">
        <v>37.692325088765429</v>
      </c>
      <c r="O37" s="24">
        <v>418.025248725023</v>
      </c>
      <c r="P37" s="27">
        <v>4.3252518171329681</v>
      </c>
      <c r="Q37" s="27">
        <v>0.55295351222274536</v>
      </c>
      <c r="R37" s="24">
        <v>12.78430795710932</v>
      </c>
      <c r="S37" s="24">
        <v>3.6056825557077947E-2</v>
      </c>
      <c r="T37" s="24">
        <v>2.163253533314104E-2</v>
      </c>
      <c r="U37" s="22"/>
      <c r="V37" s="28">
        <v>225</v>
      </c>
      <c r="W37" s="28">
        <v>239</v>
      </c>
      <c r="X37" s="28">
        <v>239</v>
      </c>
      <c r="Y37" s="28">
        <v>238</v>
      </c>
      <c r="Z37" s="28">
        <v>243</v>
      </c>
      <c r="AA37" s="28">
        <v>236</v>
      </c>
      <c r="AB37" s="28">
        <v>234</v>
      </c>
      <c r="AC37" s="28">
        <v>239</v>
      </c>
      <c r="AD37" s="28">
        <v>239</v>
      </c>
      <c r="AE37" s="28">
        <v>239</v>
      </c>
      <c r="AF37" s="28">
        <v>237</v>
      </c>
      <c r="AG37" s="28">
        <v>241</v>
      </c>
      <c r="AH37" s="28">
        <v>238</v>
      </c>
      <c r="AI37" s="28">
        <v>241</v>
      </c>
      <c r="AJ37" s="28">
        <v>237</v>
      </c>
      <c r="AK37" s="28">
        <v>239</v>
      </c>
      <c r="AL37" s="28">
        <v>235</v>
      </c>
      <c r="AM37" s="28">
        <v>241</v>
      </c>
      <c r="AN37" s="28">
        <v>237</v>
      </c>
      <c r="AO37" s="28">
        <v>239</v>
      </c>
      <c r="AP37" s="28">
        <v>234</v>
      </c>
      <c r="AQ37" s="28">
        <v>238</v>
      </c>
      <c r="AR37" s="28">
        <v>243</v>
      </c>
      <c r="AS37" s="28">
        <v>239</v>
      </c>
      <c r="AT37" s="28">
        <v>229</v>
      </c>
      <c r="AU37" s="28">
        <v>239</v>
      </c>
      <c r="AV37" s="28">
        <v>236</v>
      </c>
      <c r="AW37" s="28">
        <v>222</v>
      </c>
      <c r="AX37" s="28">
        <v>223</v>
      </c>
      <c r="AY37" s="28">
        <v>215</v>
      </c>
      <c r="AZ37" s="28">
        <v>213</v>
      </c>
      <c r="BA37" s="28">
        <v>209</v>
      </c>
      <c r="BB37" s="28">
        <v>211</v>
      </c>
      <c r="BC37" s="28">
        <v>221</v>
      </c>
      <c r="BD37" s="28">
        <v>213</v>
      </c>
      <c r="BE37" s="28">
        <v>210</v>
      </c>
      <c r="BF37" s="28">
        <v>225</v>
      </c>
      <c r="BG37" s="28">
        <v>243</v>
      </c>
      <c r="BH37" s="28">
        <v>239</v>
      </c>
      <c r="BI37" s="28">
        <v>231</v>
      </c>
      <c r="BJ37" s="28">
        <v>225</v>
      </c>
      <c r="BK37" s="28">
        <v>230</v>
      </c>
      <c r="BL37" s="28">
        <v>228</v>
      </c>
      <c r="BM37" s="28">
        <v>226</v>
      </c>
      <c r="BN37" s="28">
        <v>230</v>
      </c>
      <c r="BO37" s="28">
        <v>234</v>
      </c>
      <c r="BP37" s="28">
        <v>226</v>
      </c>
      <c r="BQ37" s="28">
        <v>234</v>
      </c>
      <c r="BR37" s="28">
        <v>229</v>
      </c>
      <c r="BS37" s="28">
        <v>228</v>
      </c>
      <c r="BT37" s="28">
        <v>232</v>
      </c>
      <c r="BU37" s="28">
        <v>230</v>
      </c>
      <c r="BV37" s="28">
        <v>230</v>
      </c>
      <c r="BW37" s="28">
        <v>229</v>
      </c>
      <c r="BX37" s="28">
        <v>232</v>
      </c>
      <c r="BY37" s="28">
        <v>230</v>
      </c>
      <c r="BZ37" s="28">
        <v>226</v>
      </c>
      <c r="CA37" s="28">
        <v>226</v>
      </c>
      <c r="CB37" s="28">
        <v>227</v>
      </c>
      <c r="CC37" s="28">
        <v>227</v>
      </c>
    </row>
    <row r="38" spans="1:81" x14ac:dyDescent="0.25">
      <c r="A38" s="21" t="s">
        <v>265</v>
      </c>
      <c r="B38" s="22">
        <v>2</v>
      </c>
      <c r="C38" s="21" t="s">
        <v>266</v>
      </c>
      <c r="D38" s="23">
        <v>14078</v>
      </c>
      <c r="E38" s="24">
        <v>59.990979200000012</v>
      </c>
      <c r="F38" s="25">
        <v>0</v>
      </c>
      <c r="G38" s="21" t="s">
        <v>252</v>
      </c>
      <c r="H38" s="26">
        <v>234.66861497736639</v>
      </c>
      <c r="I38" s="24">
        <v>238.6919680152763</v>
      </c>
      <c r="J38" s="24">
        <v>176.15464969005589</v>
      </c>
      <c r="K38" s="24">
        <v>151.15914196206009</v>
      </c>
      <c r="L38" s="24">
        <v>152.14513057855831</v>
      </c>
      <c r="M38" s="24">
        <v>74.980505068682135</v>
      </c>
      <c r="N38" s="24">
        <v>36.27894152560205</v>
      </c>
      <c r="O38" s="24">
        <v>460.06624953993378</v>
      </c>
      <c r="P38" s="27">
        <v>4.2613282568546671</v>
      </c>
      <c r="Q38" s="27">
        <v>0.50823132571732899</v>
      </c>
      <c r="R38" s="24">
        <v>11.926594129419639</v>
      </c>
      <c r="S38" s="24">
        <v>2.841514527243021E-2</v>
      </c>
      <c r="T38" s="24">
        <v>2.8413126864611449E-2</v>
      </c>
      <c r="U38" s="22"/>
      <c r="V38" s="28">
        <v>231</v>
      </c>
      <c r="W38" s="28">
        <v>226</v>
      </c>
      <c r="X38" s="28">
        <v>234</v>
      </c>
      <c r="Y38" s="28">
        <v>230</v>
      </c>
      <c r="Z38" s="28">
        <v>231</v>
      </c>
      <c r="AA38" s="28">
        <v>229</v>
      </c>
      <c r="AB38" s="28">
        <v>229</v>
      </c>
      <c r="AC38" s="28">
        <v>231</v>
      </c>
      <c r="AD38" s="28">
        <v>230</v>
      </c>
      <c r="AE38" s="28">
        <v>228</v>
      </c>
      <c r="AF38" s="28">
        <v>224</v>
      </c>
      <c r="AG38" s="28">
        <v>226</v>
      </c>
      <c r="AH38" s="28">
        <v>235</v>
      </c>
      <c r="AI38" s="28">
        <v>233</v>
      </c>
      <c r="AJ38" s="28">
        <v>232</v>
      </c>
      <c r="AK38" s="28">
        <v>231</v>
      </c>
      <c r="AL38" s="28">
        <v>230</v>
      </c>
      <c r="AM38" s="28">
        <v>230</v>
      </c>
      <c r="AN38" s="28">
        <v>232</v>
      </c>
      <c r="AO38" s="28">
        <v>234</v>
      </c>
      <c r="AP38" s="28">
        <v>229</v>
      </c>
      <c r="AQ38" s="28">
        <v>229</v>
      </c>
      <c r="AR38" s="28">
        <v>241</v>
      </c>
      <c r="AS38" s="28">
        <v>239</v>
      </c>
      <c r="AT38" s="28">
        <v>229</v>
      </c>
      <c r="AU38" s="28">
        <v>230</v>
      </c>
      <c r="AV38" s="28">
        <v>230</v>
      </c>
      <c r="AW38" s="28">
        <v>229</v>
      </c>
      <c r="AX38" s="28">
        <v>230</v>
      </c>
      <c r="AY38" s="28">
        <v>230</v>
      </c>
      <c r="AZ38" s="28">
        <v>241</v>
      </c>
      <c r="BA38" s="28">
        <v>236</v>
      </c>
      <c r="BB38" s="28">
        <v>230</v>
      </c>
      <c r="BC38" s="28">
        <v>231</v>
      </c>
      <c r="BD38" s="28">
        <v>229</v>
      </c>
      <c r="BE38" s="28">
        <v>230</v>
      </c>
      <c r="BF38" s="28">
        <v>233</v>
      </c>
      <c r="BG38" s="28">
        <v>230</v>
      </c>
      <c r="BH38" s="28">
        <v>229</v>
      </c>
      <c r="BI38" s="28">
        <v>240</v>
      </c>
      <c r="BJ38" s="28">
        <v>244</v>
      </c>
      <c r="BK38" s="28">
        <v>236</v>
      </c>
      <c r="BL38" s="28">
        <v>239</v>
      </c>
      <c r="BM38" s="28">
        <v>241</v>
      </c>
      <c r="BN38" s="28">
        <v>242</v>
      </c>
      <c r="BO38" s="28">
        <v>243</v>
      </c>
      <c r="BP38" s="28">
        <v>241</v>
      </c>
      <c r="BQ38" s="28">
        <v>243</v>
      </c>
      <c r="BR38" s="28">
        <v>243</v>
      </c>
      <c r="BS38" s="28">
        <v>243</v>
      </c>
      <c r="BT38" s="28">
        <v>242</v>
      </c>
      <c r="BU38" s="28">
        <v>235</v>
      </c>
      <c r="BV38" s="28">
        <v>243</v>
      </c>
      <c r="BW38" s="28">
        <v>243</v>
      </c>
      <c r="BX38" s="28">
        <v>245</v>
      </c>
      <c r="BY38" s="28">
        <v>240</v>
      </c>
      <c r="BZ38" s="28">
        <v>243</v>
      </c>
      <c r="CA38" s="28">
        <v>239</v>
      </c>
      <c r="CB38" s="28">
        <v>244</v>
      </c>
      <c r="CC38" s="28">
        <v>238</v>
      </c>
    </row>
    <row r="39" spans="1:81" x14ac:dyDescent="0.25">
      <c r="A39" s="21" t="s">
        <v>265</v>
      </c>
      <c r="B39" s="22">
        <v>3</v>
      </c>
      <c r="C39" s="21" t="s">
        <v>266</v>
      </c>
      <c r="D39" s="23">
        <v>14428</v>
      </c>
      <c r="E39" s="24">
        <v>59.991773299999998</v>
      </c>
      <c r="F39" s="25">
        <v>0</v>
      </c>
      <c r="G39" s="21" t="s">
        <v>252</v>
      </c>
      <c r="H39" s="26">
        <v>240.49964197341041</v>
      </c>
      <c r="I39" s="24">
        <v>245.0259727531118</v>
      </c>
      <c r="J39" s="24">
        <v>188.22073247603811</v>
      </c>
      <c r="K39" s="24">
        <v>163.25278163557559</v>
      </c>
      <c r="L39" s="24">
        <v>163.12485976255681</v>
      </c>
      <c r="M39" s="24">
        <v>77.561828411518249</v>
      </c>
      <c r="N39" s="24">
        <v>34.725477735759952</v>
      </c>
      <c r="O39" s="24">
        <v>400.0960230455309</v>
      </c>
      <c r="P39" s="27">
        <v>4.1580103479345718</v>
      </c>
      <c r="Q39" s="27">
        <v>0.45524371141637793</v>
      </c>
      <c r="R39" s="24">
        <v>10.94859496062854</v>
      </c>
      <c r="S39" s="24">
        <v>2.0794343938448739E-2</v>
      </c>
      <c r="T39" s="24">
        <v>2.772387025228722E-2</v>
      </c>
      <c r="U39" s="22"/>
      <c r="V39" s="28">
        <v>240</v>
      </c>
      <c r="W39" s="28">
        <v>239</v>
      </c>
      <c r="X39" s="28">
        <v>244</v>
      </c>
      <c r="Y39" s="28">
        <v>230</v>
      </c>
      <c r="Z39" s="28">
        <v>241</v>
      </c>
      <c r="AA39" s="28">
        <v>242</v>
      </c>
      <c r="AB39" s="28">
        <v>239</v>
      </c>
      <c r="AC39" s="28">
        <v>234</v>
      </c>
      <c r="AD39" s="28">
        <v>240</v>
      </c>
      <c r="AE39" s="28">
        <v>243</v>
      </c>
      <c r="AF39" s="28">
        <v>244</v>
      </c>
      <c r="AG39" s="28">
        <v>243</v>
      </c>
      <c r="AH39" s="28">
        <v>238</v>
      </c>
      <c r="AI39" s="28">
        <v>240</v>
      </c>
      <c r="AJ39" s="28">
        <v>241</v>
      </c>
      <c r="AK39" s="28">
        <v>239</v>
      </c>
      <c r="AL39" s="28">
        <v>238</v>
      </c>
      <c r="AM39" s="28">
        <v>240</v>
      </c>
      <c r="AN39" s="28">
        <v>243</v>
      </c>
      <c r="AO39" s="28">
        <v>242</v>
      </c>
      <c r="AP39" s="28">
        <v>243</v>
      </c>
      <c r="AQ39" s="28">
        <v>241</v>
      </c>
      <c r="AR39" s="28">
        <v>242</v>
      </c>
      <c r="AS39" s="28">
        <v>242</v>
      </c>
      <c r="AT39" s="28">
        <v>241</v>
      </c>
      <c r="AU39" s="28">
        <v>241</v>
      </c>
      <c r="AV39" s="28">
        <v>238</v>
      </c>
      <c r="AW39" s="28">
        <v>242</v>
      </c>
      <c r="AX39" s="28">
        <v>238</v>
      </c>
      <c r="AY39" s="28">
        <v>241</v>
      </c>
      <c r="AZ39" s="28">
        <v>242</v>
      </c>
      <c r="BA39" s="28">
        <v>241</v>
      </c>
      <c r="BB39" s="28">
        <v>241</v>
      </c>
      <c r="BC39" s="28">
        <v>242</v>
      </c>
      <c r="BD39" s="28">
        <v>240</v>
      </c>
      <c r="BE39" s="28">
        <v>245</v>
      </c>
      <c r="BF39" s="28">
        <v>244</v>
      </c>
      <c r="BG39" s="28">
        <v>239</v>
      </c>
      <c r="BH39" s="28">
        <v>242</v>
      </c>
      <c r="BI39" s="28">
        <v>238</v>
      </c>
      <c r="BJ39" s="28">
        <v>243</v>
      </c>
      <c r="BK39" s="28">
        <v>244</v>
      </c>
      <c r="BL39" s="28">
        <v>240</v>
      </c>
      <c r="BM39" s="28">
        <v>240</v>
      </c>
      <c r="BN39" s="28">
        <v>240</v>
      </c>
      <c r="BO39" s="28">
        <v>237</v>
      </c>
      <c r="BP39" s="28">
        <v>242</v>
      </c>
      <c r="BQ39" s="28">
        <v>241</v>
      </c>
      <c r="BR39" s="28">
        <v>244</v>
      </c>
      <c r="BS39" s="28">
        <v>240</v>
      </c>
      <c r="BT39" s="28">
        <v>239</v>
      </c>
      <c r="BU39" s="28">
        <v>241</v>
      </c>
      <c r="BV39" s="28">
        <v>241</v>
      </c>
      <c r="BW39" s="28">
        <v>244</v>
      </c>
      <c r="BX39" s="28">
        <v>241</v>
      </c>
      <c r="BY39" s="28">
        <v>239</v>
      </c>
      <c r="BZ39" s="28">
        <v>241</v>
      </c>
      <c r="CA39" s="28">
        <v>238</v>
      </c>
      <c r="CB39" s="28">
        <v>233</v>
      </c>
      <c r="CC39" s="28">
        <v>237</v>
      </c>
    </row>
    <row r="40" spans="1:81" x14ac:dyDescent="0.25">
      <c r="A40" s="21" t="s">
        <v>265</v>
      </c>
      <c r="B40" s="22">
        <v>4</v>
      </c>
      <c r="C40" s="21" t="s">
        <v>266</v>
      </c>
      <c r="D40" s="23">
        <v>14221</v>
      </c>
      <c r="E40" s="24">
        <v>60.000807799999997</v>
      </c>
      <c r="F40" s="25">
        <v>0</v>
      </c>
      <c r="G40" s="21" t="s">
        <v>252</v>
      </c>
      <c r="H40" s="26">
        <v>237.01347567523919</v>
      </c>
      <c r="I40" s="24">
        <v>242.10730195622699</v>
      </c>
      <c r="J40" s="24">
        <v>179.76623199191769</v>
      </c>
      <c r="K40" s="24">
        <v>96.754748964955184</v>
      </c>
      <c r="L40" s="24">
        <v>114.4995415869803</v>
      </c>
      <c r="M40" s="24">
        <v>59.613318211421621</v>
      </c>
      <c r="N40" s="24">
        <v>44.025517189763193</v>
      </c>
      <c r="O40" s="24">
        <v>441.91082239604037</v>
      </c>
      <c r="P40" s="27">
        <v>4.2191693833063777</v>
      </c>
      <c r="Q40" s="27">
        <v>0.56473518563960723</v>
      </c>
      <c r="R40" s="24">
        <v>13.384984918454469</v>
      </c>
      <c r="S40" s="24">
        <v>0.17580872011251761</v>
      </c>
      <c r="T40" s="24">
        <v>0.24611490049926171</v>
      </c>
      <c r="U40" s="22"/>
      <c r="V40" s="28">
        <v>241</v>
      </c>
      <c r="W40" s="28">
        <v>240</v>
      </c>
      <c r="X40" s="28">
        <v>241</v>
      </c>
      <c r="Y40" s="28">
        <v>240</v>
      </c>
      <c r="Z40" s="28">
        <v>243</v>
      </c>
      <c r="AA40" s="28">
        <v>242</v>
      </c>
      <c r="AB40" s="28">
        <v>239</v>
      </c>
      <c r="AC40" s="28">
        <v>236</v>
      </c>
      <c r="AD40" s="28">
        <v>240</v>
      </c>
      <c r="AE40" s="28">
        <v>239</v>
      </c>
      <c r="AF40" s="28">
        <v>242</v>
      </c>
      <c r="AG40" s="28">
        <v>242</v>
      </c>
      <c r="AH40" s="28">
        <v>240</v>
      </c>
      <c r="AI40" s="28">
        <v>242</v>
      </c>
      <c r="AJ40" s="28">
        <v>241</v>
      </c>
      <c r="AK40" s="28">
        <v>239</v>
      </c>
      <c r="AL40" s="28">
        <v>239</v>
      </c>
      <c r="AM40" s="28">
        <v>240</v>
      </c>
      <c r="AN40" s="28">
        <v>242</v>
      </c>
      <c r="AO40" s="28">
        <v>246</v>
      </c>
      <c r="AP40" s="28">
        <v>243</v>
      </c>
      <c r="AQ40" s="28">
        <v>240</v>
      </c>
      <c r="AR40" s="28">
        <v>237</v>
      </c>
      <c r="AS40" s="28">
        <v>239</v>
      </c>
      <c r="AT40" s="28">
        <v>225</v>
      </c>
      <c r="AU40" s="28">
        <v>223</v>
      </c>
      <c r="AV40" s="28">
        <v>223</v>
      </c>
      <c r="AW40" s="28">
        <v>225</v>
      </c>
      <c r="AX40" s="28">
        <v>223</v>
      </c>
      <c r="AY40" s="28">
        <v>221</v>
      </c>
      <c r="AZ40" s="28">
        <v>225</v>
      </c>
      <c r="BA40" s="28">
        <v>223</v>
      </c>
      <c r="BB40" s="28">
        <v>221</v>
      </c>
      <c r="BC40" s="28">
        <v>221</v>
      </c>
      <c r="BD40" s="28">
        <v>222</v>
      </c>
      <c r="BE40" s="28">
        <v>231</v>
      </c>
      <c r="BF40" s="28">
        <v>241</v>
      </c>
      <c r="BG40" s="28">
        <v>242</v>
      </c>
      <c r="BH40" s="28">
        <v>239</v>
      </c>
      <c r="BI40" s="28">
        <v>239</v>
      </c>
      <c r="BJ40" s="28">
        <v>237</v>
      </c>
      <c r="BK40" s="28">
        <v>243</v>
      </c>
      <c r="BL40" s="28">
        <v>236</v>
      </c>
      <c r="BM40" s="28">
        <v>243</v>
      </c>
      <c r="BN40" s="28">
        <v>233</v>
      </c>
      <c r="BO40" s="28">
        <v>241</v>
      </c>
      <c r="BP40" s="28">
        <v>239</v>
      </c>
      <c r="BQ40" s="28">
        <v>241</v>
      </c>
      <c r="BR40" s="28">
        <v>243</v>
      </c>
      <c r="BS40" s="28">
        <v>243</v>
      </c>
      <c r="BT40" s="28">
        <v>242</v>
      </c>
      <c r="BU40" s="28">
        <v>237</v>
      </c>
      <c r="BV40" s="28">
        <v>235</v>
      </c>
      <c r="BW40" s="28">
        <v>243</v>
      </c>
      <c r="BX40" s="28">
        <v>240</v>
      </c>
      <c r="BY40" s="28">
        <v>241</v>
      </c>
      <c r="BZ40" s="28">
        <v>242</v>
      </c>
      <c r="CA40" s="28">
        <v>242</v>
      </c>
      <c r="CB40" s="28">
        <v>242</v>
      </c>
      <c r="CC40" s="28">
        <v>241</v>
      </c>
    </row>
    <row r="41" spans="1:81" x14ac:dyDescent="0.25">
      <c r="A41" s="21" t="s">
        <v>265</v>
      </c>
      <c r="B41" s="22">
        <v>5</v>
      </c>
      <c r="C41" s="21" t="s">
        <v>266</v>
      </c>
      <c r="D41" s="23">
        <v>14419</v>
      </c>
      <c r="E41" s="24">
        <v>59.993931300000007</v>
      </c>
      <c r="F41" s="25">
        <v>0</v>
      </c>
      <c r="G41" s="21" t="s">
        <v>252</v>
      </c>
      <c r="H41" s="26">
        <v>240.34097595467961</v>
      </c>
      <c r="I41" s="24">
        <v>244.8879637565814</v>
      </c>
      <c r="J41" s="24">
        <v>186.40948123359831</v>
      </c>
      <c r="K41" s="24">
        <v>164.91632178815581</v>
      </c>
      <c r="L41" s="24">
        <v>164.3227165366747</v>
      </c>
      <c r="M41" s="24">
        <v>79.833690456041978</v>
      </c>
      <c r="N41" s="24">
        <v>33.607458167116448</v>
      </c>
      <c r="O41" s="24">
        <v>400.60892556686161</v>
      </c>
      <c r="P41" s="27">
        <v>4.1607553436438032</v>
      </c>
      <c r="Q41" s="27">
        <v>0.4570178438789757</v>
      </c>
      <c r="R41" s="24">
        <v>10.984011462657641</v>
      </c>
      <c r="S41" s="24">
        <v>1.3871549452073801E-2</v>
      </c>
      <c r="T41" s="24">
        <v>1.387058741937721E-2</v>
      </c>
      <c r="U41" s="22"/>
      <c r="V41" s="28">
        <v>237</v>
      </c>
      <c r="W41" s="28">
        <v>240</v>
      </c>
      <c r="X41" s="28">
        <v>240</v>
      </c>
      <c r="Y41" s="28">
        <v>241</v>
      </c>
      <c r="Z41" s="28">
        <v>242</v>
      </c>
      <c r="AA41" s="28">
        <v>242</v>
      </c>
      <c r="AB41" s="28">
        <v>242</v>
      </c>
      <c r="AC41" s="28">
        <v>237</v>
      </c>
      <c r="AD41" s="28">
        <v>239</v>
      </c>
      <c r="AE41" s="28">
        <v>243</v>
      </c>
      <c r="AF41" s="28">
        <v>240</v>
      </c>
      <c r="AG41" s="28">
        <v>242</v>
      </c>
      <c r="AH41" s="28">
        <v>240</v>
      </c>
      <c r="AI41" s="28">
        <v>241</v>
      </c>
      <c r="AJ41" s="28">
        <v>240</v>
      </c>
      <c r="AK41" s="28">
        <v>236</v>
      </c>
      <c r="AL41" s="28">
        <v>239</v>
      </c>
      <c r="AM41" s="28">
        <v>239</v>
      </c>
      <c r="AN41" s="28">
        <v>242</v>
      </c>
      <c r="AO41" s="28">
        <v>238</v>
      </c>
      <c r="AP41" s="28">
        <v>239</v>
      </c>
      <c r="AQ41" s="28">
        <v>241</v>
      </c>
      <c r="AR41" s="28">
        <v>239</v>
      </c>
      <c r="AS41" s="28">
        <v>239</v>
      </c>
      <c r="AT41" s="28">
        <v>241</v>
      </c>
      <c r="AU41" s="28">
        <v>240</v>
      </c>
      <c r="AV41" s="28">
        <v>242</v>
      </c>
      <c r="AW41" s="28">
        <v>238</v>
      </c>
      <c r="AX41" s="28">
        <v>240</v>
      </c>
      <c r="AY41" s="28">
        <v>237</v>
      </c>
      <c r="AZ41" s="28">
        <v>230</v>
      </c>
      <c r="BA41" s="28">
        <v>240</v>
      </c>
      <c r="BB41" s="28">
        <v>242</v>
      </c>
      <c r="BC41" s="28">
        <v>242</v>
      </c>
      <c r="BD41" s="28">
        <v>242</v>
      </c>
      <c r="BE41" s="28">
        <v>244</v>
      </c>
      <c r="BF41" s="28">
        <v>242</v>
      </c>
      <c r="BG41" s="28">
        <v>240</v>
      </c>
      <c r="BH41" s="28">
        <v>241</v>
      </c>
      <c r="BI41" s="28">
        <v>241</v>
      </c>
      <c r="BJ41" s="28">
        <v>242</v>
      </c>
      <c r="BK41" s="28">
        <v>244</v>
      </c>
      <c r="BL41" s="28">
        <v>243</v>
      </c>
      <c r="BM41" s="28">
        <v>242</v>
      </c>
      <c r="BN41" s="28">
        <v>239</v>
      </c>
      <c r="BO41" s="28">
        <v>243</v>
      </c>
      <c r="BP41" s="28">
        <v>242</v>
      </c>
      <c r="BQ41" s="28">
        <v>239</v>
      </c>
      <c r="BR41" s="28">
        <v>242</v>
      </c>
      <c r="BS41" s="28">
        <v>245</v>
      </c>
      <c r="BT41" s="28">
        <v>242</v>
      </c>
      <c r="BU41" s="28">
        <v>244</v>
      </c>
      <c r="BV41" s="28">
        <v>244</v>
      </c>
      <c r="BW41" s="28">
        <v>241</v>
      </c>
      <c r="BX41" s="28">
        <v>243</v>
      </c>
      <c r="BY41" s="28">
        <v>239</v>
      </c>
      <c r="BZ41" s="28">
        <v>240</v>
      </c>
      <c r="CA41" s="28">
        <v>238</v>
      </c>
      <c r="CB41" s="28">
        <v>228</v>
      </c>
      <c r="CC41" s="28">
        <v>239</v>
      </c>
    </row>
    <row r="42" spans="1:81" x14ac:dyDescent="0.25">
      <c r="A42" s="13" t="s">
        <v>267</v>
      </c>
      <c r="B42" s="14">
        <v>1</v>
      </c>
      <c r="C42" s="13" t="s">
        <v>268</v>
      </c>
      <c r="D42" s="15">
        <v>13674</v>
      </c>
      <c r="E42" s="16">
        <v>59.999935000000001</v>
      </c>
      <c r="F42" s="17">
        <v>0</v>
      </c>
      <c r="G42" s="13" t="s">
        <v>252</v>
      </c>
      <c r="H42" s="18">
        <v>227.90024689193419</v>
      </c>
      <c r="I42" s="16">
        <v>229.8454289490318</v>
      </c>
      <c r="J42" s="16">
        <v>178.70114645720511</v>
      </c>
      <c r="K42" s="16">
        <v>157.85608951728199</v>
      </c>
      <c r="L42" s="16">
        <v>159.78434439651281</v>
      </c>
      <c r="M42" s="16">
        <v>97.77273705000097</v>
      </c>
      <c r="N42" s="16">
        <v>42.47402713240853</v>
      </c>
      <c r="O42" s="16">
        <v>358.56430850873107</v>
      </c>
      <c r="P42" s="19">
        <v>4.3878846716396076</v>
      </c>
      <c r="Q42" s="19">
        <v>0.47622487101526739</v>
      </c>
      <c r="R42" s="16">
        <v>10.853176568045891</v>
      </c>
      <c r="S42" s="16">
        <v>7.3136839025817304E-3</v>
      </c>
      <c r="T42" s="16">
        <v>1.462629808395495E-2</v>
      </c>
      <c r="U42" s="14"/>
      <c r="V42" s="20">
        <v>229</v>
      </c>
      <c r="W42" s="20">
        <v>227</v>
      </c>
      <c r="X42" s="20">
        <v>229</v>
      </c>
      <c r="Y42" s="20">
        <v>227</v>
      </c>
      <c r="Z42" s="20">
        <v>228</v>
      </c>
      <c r="AA42" s="20">
        <v>229</v>
      </c>
      <c r="AB42" s="20">
        <v>228</v>
      </c>
      <c r="AC42" s="20">
        <v>227</v>
      </c>
      <c r="AD42" s="20">
        <v>226</v>
      </c>
      <c r="AE42" s="20">
        <v>229</v>
      </c>
      <c r="AF42" s="20">
        <v>230</v>
      </c>
      <c r="AG42" s="20">
        <v>231</v>
      </c>
      <c r="AH42" s="20">
        <v>228</v>
      </c>
      <c r="AI42" s="20">
        <v>228</v>
      </c>
      <c r="AJ42" s="20">
        <v>227</v>
      </c>
      <c r="AK42" s="20">
        <v>229</v>
      </c>
      <c r="AL42" s="20">
        <v>230</v>
      </c>
      <c r="AM42" s="20">
        <v>225</v>
      </c>
      <c r="AN42" s="20">
        <v>229</v>
      </c>
      <c r="AO42" s="20">
        <v>226</v>
      </c>
      <c r="AP42" s="20">
        <v>229</v>
      </c>
      <c r="AQ42" s="20">
        <v>228</v>
      </c>
      <c r="AR42" s="20">
        <v>231</v>
      </c>
      <c r="AS42" s="20">
        <v>230</v>
      </c>
      <c r="AT42" s="20">
        <v>231</v>
      </c>
      <c r="AU42" s="20">
        <v>229</v>
      </c>
      <c r="AV42" s="20">
        <v>230</v>
      </c>
      <c r="AW42" s="20">
        <v>226</v>
      </c>
      <c r="AX42" s="20">
        <v>228</v>
      </c>
      <c r="AY42" s="20">
        <v>229</v>
      </c>
      <c r="AZ42" s="20">
        <v>227</v>
      </c>
      <c r="BA42" s="20">
        <v>229</v>
      </c>
      <c r="BB42" s="20">
        <v>230</v>
      </c>
      <c r="BC42" s="20">
        <v>227</v>
      </c>
      <c r="BD42" s="20">
        <v>229</v>
      </c>
      <c r="BE42" s="20">
        <v>230</v>
      </c>
      <c r="BF42" s="20">
        <v>229</v>
      </c>
      <c r="BG42" s="20">
        <v>226</v>
      </c>
      <c r="BH42" s="20">
        <v>229</v>
      </c>
      <c r="BI42" s="20">
        <v>231</v>
      </c>
      <c r="BJ42" s="20">
        <v>233</v>
      </c>
      <c r="BK42" s="20">
        <v>232</v>
      </c>
      <c r="BL42" s="20">
        <v>230</v>
      </c>
      <c r="BM42" s="20">
        <v>231</v>
      </c>
      <c r="BN42" s="20">
        <v>230</v>
      </c>
      <c r="BO42" s="20">
        <v>221</v>
      </c>
      <c r="BP42" s="20">
        <v>220</v>
      </c>
      <c r="BQ42" s="20">
        <v>216</v>
      </c>
      <c r="BR42" s="20">
        <v>224</v>
      </c>
      <c r="BS42" s="20">
        <v>222</v>
      </c>
      <c r="BT42" s="20">
        <v>223</v>
      </c>
      <c r="BU42" s="20">
        <v>224</v>
      </c>
      <c r="BV42" s="20">
        <v>228</v>
      </c>
      <c r="BW42" s="20">
        <v>233</v>
      </c>
      <c r="BX42" s="20">
        <v>229</v>
      </c>
      <c r="BY42" s="20">
        <v>231</v>
      </c>
      <c r="BZ42" s="20">
        <v>229</v>
      </c>
      <c r="CA42" s="20">
        <v>225</v>
      </c>
      <c r="CB42" s="20">
        <v>228</v>
      </c>
      <c r="CC42" s="20">
        <v>225</v>
      </c>
    </row>
    <row r="43" spans="1:81" x14ac:dyDescent="0.25">
      <c r="A43" s="13" t="s">
        <v>267</v>
      </c>
      <c r="B43" s="14">
        <v>2</v>
      </c>
      <c r="C43" s="13" t="s">
        <v>268</v>
      </c>
      <c r="D43" s="15">
        <v>14305</v>
      </c>
      <c r="E43" s="16">
        <v>60.000720700000002</v>
      </c>
      <c r="F43" s="17">
        <v>0</v>
      </c>
      <c r="G43" s="13" t="s">
        <v>252</v>
      </c>
      <c r="H43" s="18">
        <v>238.4138029195372</v>
      </c>
      <c r="I43" s="16">
        <v>242.33612019871561</v>
      </c>
      <c r="J43" s="16">
        <v>191.6175742441454</v>
      </c>
      <c r="K43" s="16">
        <v>172.90022702491351</v>
      </c>
      <c r="L43" s="16">
        <v>173.90679291526911</v>
      </c>
      <c r="M43" s="16">
        <v>106.6025021130139</v>
      </c>
      <c r="N43" s="16">
        <v>43.523108594508258</v>
      </c>
      <c r="O43" s="16">
        <v>461.06321176633321</v>
      </c>
      <c r="P43" s="19">
        <v>4.1943880251660266</v>
      </c>
      <c r="Q43" s="19">
        <v>0.39982090240005569</v>
      </c>
      <c r="R43" s="16">
        <v>9.5322821827918425</v>
      </c>
      <c r="S43" s="16">
        <v>1.3982102908277399E-2</v>
      </c>
      <c r="T43" s="16">
        <v>1.398112548060119E-2</v>
      </c>
      <c r="U43" s="14"/>
      <c r="V43" s="20">
        <v>236</v>
      </c>
      <c r="W43" s="20">
        <v>239</v>
      </c>
      <c r="X43" s="20">
        <v>237</v>
      </c>
      <c r="Y43" s="20">
        <v>239</v>
      </c>
      <c r="Z43" s="20">
        <v>237</v>
      </c>
      <c r="AA43" s="20">
        <v>238</v>
      </c>
      <c r="AB43" s="20">
        <v>237</v>
      </c>
      <c r="AC43" s="20">
        <v>237</v>
      </c>
      <c r="AD43" s="20">
        <v>236</v>
      </c>
      <c r="AE43" s="20">
        <v>239</v>
      </c>
      <c r="AF43" s="20">
        <v>242</v>
      </c>
      <c r="AG43" s="20">
        <v>240</v>
      </c>
      <c r="AH43" s="20">
        <v>237</v>
      </c>
      <c r="AI43" s="20">
        <v>238</v>
      </c>
      <c r="AJ43" s="20">
        <v>237</v>
      </c>
      <c r="AK43" s="20">
        <v>240</v>
      </c>
      <c r="AL43" s="20">
        <v>239</v>
      </c>
      <c r="AM43" s="20">
        <v>239</v>
      </c>
      <c r="AN43" s="20">
        <v>240</v>
      </c>
      <c r="AO43" s="20">
        <v>239</v>
      </c>
      <c r="AP43" s="20">
        <v>239</v>
      </c>
      <c r="AQ43" s="20">
        <v>240</v>
      </c>
      <c r="AR43" s="20">
        <v>235</v>
      </c>
      <c r="AS43" s="20">
        <v>238</v>
      </c>
      <c r="AT43" s="20">
        <v>240</v>
      </c>
      <c r="AU43" s="20">
        <v>241</v>
      </c>
      <c r="AV43" s="20">
        <v>240</v>
      </c>
      <c r="AW43" s="20">
        <v>243</v>
      </c>
      <c r="AX43" s="20">
        <v>241</v>
      </c>
      <c r="AY43" s="20">
        <v>241</v>
      </c>
      <c r="AZ43" s="20">
        <v>240</v>
      </c>
      <c r="BA43" s="20">
        <v>239</v>
      </c>
      <c r="BB43" s="20">
        <v>235</v>
      </c>
      <c r="BC43" s="20">
        <v>238</v>
      </c>
      <c r="BD43" s="20">
        <v>239</v>
      </c>
      <c r="BE43" s="20">
        <v>241</v>
      </c>
      <c r="BF43" s="20">
        <v>238</v>
      </c>
      <c r="BG43" s="20">
        <v>238</v>
      </c>
      <c r="BH43" s="20">
        <v>238</v>
      </c>
      <c r="BI43" s="20">
        <v>240</v>
      </c>
      <c r="BJ43" s="20">
        <v>239</v>
      </c>
      <c r="BK43" s="20">
        <v>242</v>
      </c>
      <c r="BL43" s="20">
        <v>236</v>
      </c>
      <c r="BM43" s="20">
        <v>241</v>
      </c>
      <c r="BN43" s="20">
        <v>240</v>
      </c>
      <c r="BO43" s="20">
        <v>237</v>
      </c>
      <c r="BP43" s="20">
        <v>237</v>
      </c>
      <c r="BQ43" s="20">
        <v>239</v>
      </c>
      <c r="BR43" s="20">
        <v>236</v>
      </c>
      <c r="BS43" s="20">
        <v>238</v>
      </c>
      <c r="BT43" s="20">
        <v>239</v>
      </c>
      <c r="BU43" s="20">
        <v>240</v>
      </c>
      <c r="BV43" s="20">
        <v>237</v>
      </c>
      <c r="BW43" s="20">
        <v>238</v>
      </c>
      <c r="BX43" s="20">
        <v>240</v>
      </c>
      <c r="BY43" s="20">
        <v>238</v>
      </c>
      <c r="BZ43" s="20">
        <v>230</v>
      </c>
      <c r="CA43" s="20">
        <v>229</v>
      </c>
      <c r="CB43" s="20">
        <v>239</v>
      </c>
      <c r="CC43" s="20">
        <v>240</v>
      </c>
    </row>
    <row r="44" spans="1:81" x14ac:dyDescent="0.25">
      <c r="A44" s="13" t="s">
        <v>267</v>
      </c>
      <c r="B44" s="14">
        <v>3</v>
      </c>
      <c r="C44" s="13" t="s">
        <v>268</v>
      </c>
      <c r="D44" s="15">
        <v>14349</v>
      </c>
      <c r="E44" s="16">
        <v>59.987143600000003</v>
      </c>
      <c r="F44" s="17">
        <v>0</v>
      </c>
      <c r="G44" s="13" t="s">
        <v>252</v>
      </c>
      <c r="H44" s="18">
        <v>239.2012544501286</v>
      </c>
      <c r="I44" s="16">
        <v>242.93071615975131</v>
      </c>
      <c r="J44" s="16">
        <v>192.70273291015809</v>
      </c>
      <c r="K44" s="16">
        <v>171.6034225684854</v>
      </c>
      <c r="L44" s="16">
        <v>172.5035052214655</v>
      </c>
      <c r="M44" s="16">
        <v>96.65213126003772</v>
      </c>
      <c r="N44" s="16">
        <v>38.265062085063228</v>
      </c>
      <c r="O44" s="16">
        <v>461.1057315442431</v>
      </c>
      <c r="P44" s="19">
        <v>4.1805800822356964</v>
      </c>
      <c r="Q44" s="19">
        <v>0.39928332671270589</v>
      </c>
      <c r="R44" s="16">
        <v>9.5509072630699769</v>
      </c>
      <c r="S44" s="16">
        <v>6.9696124895455812E-3</v>
      </c>
      <c r="T44" s="16">
        <v>6.9691267684159177E-3</v>
      </c>
      <c r="U44" s="14"/>
      <c r="V44" s="20">
        <v>241</v>
      </c>
      <c r="W44" s="20">
        <v>242</v>
      </c>
      <c r="X44" s="20">
        <v>240</v>
      </c>
      <c r="Y44" s="20">
        <v>241</v>
      </c>
      <c r="Z44" s="20">
        <v>240</v>
      </c>
      <c r="AA44" s="20">
        <v>240</v>
      </c>
      <c r="AB44" s="20">
        <v>240</v>
      </c>
      <c r="AC44" s="20">
        <v>239</v>
      </c>
      <c r="AD44" s="20">
        <v>241</v>
      </c>
      <c r="AE44" s="20">
        <v>243</v>
      </c>
      <c r="AF44" s="20">
        <v>241</v>
      </c>
      <c r="AG44" s="20">
        <v>240</v>
      </c>
      <c r="AH44" s="20">
        <v>240</v>
      </c>
      <c r="AI44" s="20">
        <v>240</v>
      </c>
      <c r="AJ44" s="20">
        <v>238</v>
      </c>
      <c r="AK44" s="20">
        <v>240</v>
      </c>
      <c r="AL44" s="20">
        <v>238</v>
      </c>
      <c r="AM44" s="20">
        <v>238</v>
      </c>
      <c r="AN44" s="20">
        <v>239</v>
      </c>
      <c r="AO44" s="20">
        <v>240</v>
      </c>
      <c r="AP44" s="20">
        <v>240</v>
      </c>
      <c r="AQ44" s="20">
        <v>239</v>
      </c>
      <c r="AR44" s="20">
        <v>235</v>
      </c>
      <c r="AS44" s="20">
        <v>238</v>
      </c>
      <c r="AT44" s="20">
        <v>238</v>
      </c>
      <c r="AU44" s="20">
        <v>242</v>
      </c>
      <c r="AV44" s="20">
        <v>242</v>
      </c>
      <c r="AW44" s="20">
        <v>237</v>
      </c>
      <c r="AX44" s="20">
        <v>238</v>
      </c>
      <c r="AY44" s="20">
        <v>240</v>
      </c>
      <c r="AZ44" s="20">
        <v>239</v>
      </c>
      <c r="BA44" s="20">
        <v>238</v>
      </c>
      <c r="BB44" s="20">
        <v>239</v>
      </c>
      <c r="BC44" s="20">
        <v>236</v>
      </c>
      <c r="BD44" s="20">
        <v>240</v>
      </c>
      <c r="BE44" s="20">
        <v>240</v>
      </c>
      <c r="BF44" s="20">
        <v>239</v>
      </c>
      <c r="BG44" s="20">
        <v>237</v>
      </c>
      <c r="BH44" s="20">
        <v>240</v>
      </c>
      <c r="BI44" s="20">
        <v>240</v>
      </c>
      <c r="BJ44" s="20">
        <v>239</v>
      </c>
      <c r="BK44" s="20">
        <v>240</v>
      </c>
      <c r="BL44" s="20">
        <v>230</v>
      </c>
      <c r="BM44" s="20">
        <v>229</v>
      </c>
      <c r="BN44" s="20">
        <v>239</v>
      </c>
      <c r="BO44" s="20">
        <v>240</v>
      </c>
      <c r="BP44" s="20">
        <v>239</v>
      </c>
      <c r="BQ44" s="20">
        <v>240</v>
      </c>
      <c r="BR44" s="20">
        <v>239</v>
      </c>
      <c r="BS44" s="20">
        <v>243</v>
      </c>
      <c r="BT44" s="20">
        <v>238</v>
      </c>
      <c r="BU44" s="20">
        <v>238</v>
      </c>
      <c r="BV44" s="20">
        <v>237</v>
      </c>
      <c r="BW44" s="20">
        <v>240</v>
      </c>
      <c r="BX44" s="20">
        <v>240</v>
      </c>
      <c r="BY44" s="20">
        <v>241</v>
      </c>
      <c r="BZ44" s="20">
        <v>242</v>
      </c>
      <c r="CA44" s="20">
        <v>240</v>
      </c>
      <c r="CB44" s="20">
        <v>238</v>
      </c>
      <c r="CC44" s="20">
        <v>239</v>
      </c>
    </row>
    <row r="45" spans="1:81" x14ac:dyDescent="0.25">
      <c r="A45" s="13" t="s">
        <v>267</v>
      </c>
      <c r="B45" s="14">
        <v>4</v>
      </c>
      <c r="C45" s="13" t="s">
        <v>268</v>
      </c>
      <c r="D45" s="15">
        <v>14358</v>
      </c>
      <c r="E45" s="16">
        <v>60.001423299999992</v>
      </c>
      <c r="F45" s="17">
        <v>0</v>
      </c>
      <c r="G45" s="13" t="s">
        <v>252</v>
      </c>
      <c r="H45" s="18">
        <v>239.29432353982179</v>
      </c>
      <c r="I45" s="16">
        <v>242.91006254934109</v>
      </c>
      <c r="J45" s="16">
        <v>193.48744479319481</v>
      </c>
      <c r="K45" s="16">
        <v>170.542236140591</v>
      </c>
      <c r="L45" s="16">
        <v>171.83703372268741</v>
      </c>
      <c r="M45" s="16">
        <v>92.036820864133702</v>
      </c>
      <c r="N45" s="16">
        <v>36.621853724991851</v>
      </c>
      <c r="O45" s="16">
        <v>458.12717610408652</v>
      </c>
      <c r="P45" s="19">
        <v>4.1789541231369256</v>
      </c>
      <c r="Q45" s="19">
        <v>0.40346522601092832</v>
      </c>
      <c r="R45" s="16">
        <v>9.6546938330126419</v>
      </c>
      <c r="S45" s="16">
        <v>2.0895730305774188E-2</v>
      </c>
      <c r="T45" s="16">
        <v>1.392951664577239E-2</v>
      </c>
      <c r="U45" s="14"/>
      <c r="V45" s="20">
        <v>242</v>
      </c>
      <c r="W45" s="20">
        <v>241</v>
      </c>
      <c r="X45" s="20">
        <v>240</v>
      </c>
      <c r="Y45" s="20">
        <v>237</v>
      </c>
      <c r="Z45" s="20">
        <v>241</v>
      </c>
      <c r="AA45" s="20">
        <v>241</v>
      </c>
      <c r="AB45" s="20">
        <v>241</v>
      </c>
      <c r="AC45" s="20">
        <v>238</v>
      </c>
      <c r="AD45" s="20">
        <v>239</v>
      </c>
      <c r="AE45" s="20">
        <v>241</v>
      </c>
      <c r="AF45" s="20">
        <v>240</v>
      </c>
      <c r="AG45" s="20">
        <v>242</v>
      </c>
      <c r="AH45" s="20">
        <v>241</v>
      </c>
      <c r="AI45" s="20">
        <v>241</v>
      </c>
      <c r="AJ45" s="20">
        <v>242</v>
      </c>
      <c r="AK45" s="20">
        <v>238</v>
      </c>
      <c r="AL45" s="20">
        <v>240</v>
      </c>
      <c r="AM45" s="20">
        <v>239</v>
      </c>
      <c r="AN45" s="20">
        <v>239</v>
      </c>
      <c r="AO45" s="20">
        <v>239</v>
      </c>
      <c r="AP45" s="20">
        <v>238</v>
      </c>
      <c r="AQ45" s="20">
        <v>239</v>
      </c>
      <c r="AR45" s="20">
        <v>241</v>
      </c>
      <c r="AS45" s="20">
        <v>238</v>
      </c>
      <c r="AT45" s="20">
        <v>238</v>
      </c>
      <c r="AU45" s="20">
        <v>240</v>
      </c>
      <c r="AV45" s="20">
        <v>236</v>
      </c>
      <c r="AW45" s="20">
        <v>237</v>
      </c>
      <c r="AX45" s="20">
        <v>238</v>
      </c>
      <c r="AY45" s="20">
        <v>222</v>
      </c>
      <c r="AZ45" s="20">
        <v>237</v>
      </c>
      <c r="BA45" s="20">
        <v>240</v>
      </c>
      <c r="BB45" s="20">
        <v>239</v>
      </c>
      <c r="BC45" s="20">
        <v>236</v>
      </c>
      <c r="BD45" s="20">
        <v>240</v>
      </c>
      <c r="BE45" s="20">
        <v>239</v>
      </c>
      <c r="BF45" s="20">
        <v>238</v>
      </c>
      <c r="BG45" s="20">
        <v>236</v>
      </c>
      <c r="BH45" s="20">
        <v>240</v>
      </c>
      <c r="BI45" s="20">
        <v>238</v>
      </c>
      <c r="BJ45" s="20">
        <v>239</v>
      </c>
      <c r="BK45" s="20">
        <v>241</v>
      </c>
      <c r="BL45" s="20">
        <v>240</v>
      </c>
      <c r="BM45" s="20">
        <v>238</v>
      </c>
      <c r="BN45" s="20">
        <v>241</v>
      </c>
      <c r="BO45" s="20">
        <v>238</v>
      </c>
      <c r="BP45" s="20">
        <v>242</v>
      </c>
      <c r="BQ45" s="20">
        <v>241</v>
      </c>
      <c r="BR45" s="20">
        <v>241</v>
      </c>
      <c r="BS45" s="20">
        <v>241</v>
      </c>
      <c r="BT45" s="20">
        <v>240</v>
      </c>
      <c r="BU45" s="20">
        <v>241</v>
      </c>
      <c r="BV45" s="20">
        <v>242</v>
      </c>
      <c r="BW45" s="20">
        <v>239</v>
      </c>
      <c r="BX45" s="20">
        <v>243</v>
      </c>
      <c r="BY45" s="20">
        <v>242</v>
      </c>
      <c r="BZ45" s="20">
        <v>240</v>
      </c>
      <c r="CA45" s="20">
        <v>239</v>
      </c>
      <c r="CB45" s="20">
        <v>239</v>
      </c>
      <c r="CC45" s="20">
        <v>239</v>
      </c>
    </row>
    <row r="46" spans="1:81" x14ac:dyDescent="0.25">
      <c r="A46" s="13" t="s">
        <v>267</v>
      </c>
      <c r="B46" s="14">
        <v>5</v>
      </c>
      <c r="C46" s="13" t="s">
        <v>268</v>
      </c>
      <c r="D46" s="15">
        <v>14300</v>
      </c>
      <c r="E46" s="16">
        <v>59.997490300000003</v>
      </c>
      <c r="F46" s="17">
        <v>0</v>
      </c>
      <c r="G46" s="13" t="s">
        <v>252</v>
      </c>
      <c r="H46" s="18">
        <v>238.3433028364521</v>
      </c>
      <c r="I46" s="16">
        <v>241.77657426771921</v>
      </c>
      <c r="J46" s="16">
        <v>190.81646165982079</v>
      </c>
      <c r="K46" s="16">
        <v>173.43215682623409</v>
      </c>
      <c r="L46" s="16">
        <v>173.78360168004059</v>
      </c>
      <c r="M46" s="16">
        <v>109.81804718410839</v>
      </c>
      <c r="N46" s="16">
        <v>43.978468141997681</v>
      </c>
      <c r="O46" s="16">
        <v>469.72614965475128</v>
      </c>
      <c r="P46" s="19">
        <v>4.1956286923076931</v>
      </c>
      <c r="Q46" s="19">
        <v>0.39585818782223381</v>
      </c>
      <c r="R46" s="16">
        <v>9.4350147940403808</v>
      </c>
      <c r="S46" s="16">
        <v>1.3986992097349471E-2</v>
      </c>
      <c r="T46" s="16">
        <v>6.993006993006993E-3</v>
      </c>
      <c r="U46" s="14"/>
      <c r="V46" s="20">
        <v>240</v>
      </c>
      <c r="W46" s="20">
        <v>238</v>
      </c>
      <c r="X46" s="20">
        <v>241</v>
      </c>
      <c r="Y46" s="20">
        <v>238</v>
      </c>
      <c r="Z46" s="20">
        <v>239</v>
      </c>
      <c r="AA46" s="20">
        <v>237</v>
      </c>
      <c r="AB46" s="20">
        <v>239</v>
      </c>
      <c r="AC46" s="20">
        <v>239</v>
      </c>
      <c r="AD46" s="20">
        <v>236</v>
      </c>
      <c r="AE46" s="20">
        <v>238</v>
      </c>
      <c r="AF46" s="20">
        <v>240</v>
      </c>
      <c r="AG46" s="20">
        <v>233</v>
      </c>
      <c r="AH46" s="20">
        <v>238</v>
      </c>
      <c r="AI46" s="20">
        <v>238</v>
      </c>
      <c r="AJ46" s="20">
        <v>239</v>
      </c>
      <c r="AK46" s="20">
        <v>228</v>
      </c>
      <c r="AL46" s="20">
        <v>229</v>
      </c>
      <c r="AM46" s="20">
        <v>241</v>
      </c>
      <c r="AN46" s="20">
        <v>238</v>
      </c>
      <c r="AO46" s="20">
        <v>240</v>
      </c>
      <c r="AP46" s="20">
        <v>238</v>
      </c>
      <c r="AQ46" s="20">
        <v>237</v>
      </c>
      <c r="AR46" s="20">
        <v>235</v>
      </c>
      <c r="AS46" s="20">
        <v>237</v>
      </c>
      <c r="AT46" s="20">
        <v>238</v>
      </c>
      <c r="AU46" s="20">
        <v>241</v>
      </c>
      <c r="AV46" s="20">
        <v>240</v>
      </c>
      <c r="AW46" s="20">
        <v>240</v>
      </c>
      <c r="AX46" s="20">
        <v>236</v>
      </c>
      <c r="AY46" s="20">
        <v>240</v>
      </c>
      <c r="AZ46" s="20">
        <v>239</v>
      </c>
      <c r="BA46" s="20">
        <v>238</v>
      </c>
      <c r="BB46" s="20">
        <v>239</v>
      </c>
      <c r="BC46" s="20">
        <v>239</v>
      </c>
      <c r="BD46" s="20">
        <v>240</v>
      </c>
      <c r="BE46" s="20">
        <v>238</v>
      </c>
      <c r="BF46" s="20">
        <v>237</v>
      </c>
      <c r="BG46" s="20">
        <v>238</v>
      </c>
      <c r="BH46" s="20">
        <v>236</v>
      </c>
      <c r="BI46" s="20">
        <v>239</v>
      </c>
      <c r="BJ46" s="20">
        <v>239</v>
      </c>
      <c r="BK46" s="20">
        <v>240</v>
      </c>
      <c r="BL46" s="20">
        <v>240</v>
      </c>
      <c r="BM46" s="20">
        <v>239</v>
      </c>
      <c r="BN46" s="20">
        <v>240</v>
      </c>
      <c r="BO46" s="20">
        <v>239</v>
      </c>
      <c r="BP46" s="20">
        <v>240</v>
      </c>
      <c r="BQ46" s="20">
        <v>239</v>
      </c>
      <c r="BR46" s="20">
        <v>235</v>
      </c>
      <c r="BS46" s="20">
        <v>238</v>
      </c>
      <c r="BT46" s="20">
        <v>241</v>
      </c>
      <c r="BU46" s="20">
        <v>239</v>
      </c>
      <c r="BV46" s="20">
        <v>241</v>
      </c>
      <c r="BW46" s="20">
        <v>239</v>
      </c>
      <c r="BX46" s="20">
        <v>239</v>
      </c>
      <c r="BY46" s="20">
        <v>240</v>
      </c>
      <c r="BZ46" s="20">
        <v>242</v>
      </c>
      <c r="CA46" s="20">
        <v>238</v>
      </c>
      <c r="CB46" s="20">
        <v>238</v>
      </c>
      <c r="CC46" s="20">
        <v>240</v>
      </c>
    </row>
    <row r="47" spans="1:81" x14ac:dyDescent="0.25">
      <c r="A47" s="21" t="s">
        <v>269</v>
      </c>
      <c r="B47" s="22">
        <v>1</v>
      </c>
      <c r="C47" s="21" t="s">
        <v>270</v>
      </c>
      <c r="D47" s="23">
        <v>14001</v>
      </c>
      <c r="E47" s="24">
        <v>60.001418800000003</v>
      </c>
      <c r="F47" s="25">
        <v>0</v>
      </c>
      <c r="G47" s="21" t="s">
        <v>252</v>
      </c>
      <c r="H47" s="26">
        <v>233.34448218081141</v>
      </c>
      <c r="I47" s="24">
        <v>237.20290336353719</v>
      </c>
      <c r="J47" s="24">
        <v>180.10554184752269</v>
      </c>
      <c r="K47" s="24">
        <v>157.5721286418854</v>
      </c>
      <c r="L47" s="24">
        <v>158.7072500943564</v>
      </c>
      <c r="M47" s="24">
        <v>80.996057111939777</v>
      </c>
      <c r="N47" s="24">
        <v>43.399010502560543</v>
      </c>
      <c r="O47" s="24">
        <v>417.93789442888789</v>
      </c>
      <c r="P47" s="27">
        <v>4.2855095207485183</v>
      </c>
      <c r="Q47" s="27">
        <v>0.46824410481689732</v>
      </c>
      <c r="R47" s="24">
        <v>10.92621781727164</v>
      </c>
      <c r="S47" s="24">
        <v>3.5714285714285712E-2</v>
      </c>
      <c r="T47" s="24">
        <v>2.8569387900864229E-2</v>
      </c>
      <c r="U47" s="22"/>
      <c r="V47" s="28">
        <v>238</v>
      </c>
      <c r="W47" s="28">
        <v>238</v>
      </c>
      <c r="X47" s="28">
        <v>236</v>
      </c>
      <c r="Y47" s="28">
        <v>237</v>
      </c>
      <c r="Z47" s="28">
        <v>239</v>
      </c>
      <c r="AA47" s="28">
        <v>239</v>
      </c>
      <c r="AB47" s="28">
        <v>238</v>
      </c>
      <c r="AC47" s="28">
        <v>234</v>
      </c>
      <c r="AD47" s="28">
        <v>239</v>
      </c>
      <c r="AE47" s="28">
        <v>239</v>
      </c>
      <c r="AF47" s="28">
        <v>239</v>
      </c>
      <c r="AG47" s="28">
        <v>238</v>
      </c>
      <c r="AH47" s="28">
        <v>238</v>
      </c>
      <c r="AI47" s="28">
        <v>238</v>
      </c>
      <c r="AJ47" s="28">
        <v>240</v>
      </c>
      <c r="AK47" s="28">
        <v>238</v>
      </c>
      <c r="AL47" s="28">
        <v>234</v>
      </c>
      <c r="AM47" s="28">
        <v>228</v>
      </c>
      <c r="AN47" s="28">
        <v>238</v>
      </c>
      <c r="AO47" s="28">
        <v>242</v>
      </c>
      <c r="AP47" s="28">
        <v>239</v>
      </c>
      <c r="AQ47" s="28">
        <v>240</v>
      </c>
      <c r="AR47" s="28">
        <v>230</v>
      </c>
      <c r="AS47" s="28">
        <v>234</v>
      </c>
      <c r="AT47" s="28">
        <v>239</v>
      </c>
      <c r="AU47" s="28">
        <v>236</v>
      </c>
      <c r="AV47" s="28">
        <v>240</v>
      </c>
      <c r="AW47" s="28">
        <v>234</v>
      </c>
      <c r="AX47" s="28">
        <v>241</v>
      </c>
      <c r="AY47" s="28">
        <v>238</v>
      </c>
      <c r="AZ47" s="28">
        <v>239</v>
      </c>
      <c r="BA47" s="28">
        <v>238</v>
      </c>
      <c r="BB47" s="28">
        <v>231</v>
      </c>
      <c r="BC47" s="28">
        <v>231</v>
      </c>
      <c r="BD47" s="28">
        <v>224</v>
      </c>
      <c r="BE47" s="28">
        <v>231</v>
      </c>
      <c r="BF47" s="28">
        <v>229</v>
      </c>
      <c r="BG47" s="28">
        <v>223</v>
      </c>
      <c r="BH47" s="28">
        <v>230</v>
      </c>
      <c r="BI47" s="28">
        <v>229</v>
      </c>
      <c r="BJ47" s="28">
        <v>229</v>
      </c>
      <c r="BK47" s="28">
        <v>228</v>
      </c>
      <c r="BL47" s="28">
        <v>229</v>
      </c>
      <c r="BM47" s="28">
        <v>229</v>
      </c>
      <c r="BN47" s="28">
        <v>228</v>
      </c>
      <c r="BO47" s="28">
        <v>227</v>
      </c>
      <c r="BP47" s="28">
        <v>231</v>
      </c>
      <c r="BQ47" s="28">
        <v>226</v>
      </c>
      <c r="BR47" s="28">
        <v>232</v>
      </c>
      <c r="BS47" s="28">
        <v>227</v>
      </c>
      <c r="BT47" s="28">
        <v>230</v>
      </c>
      <c r="BU47" s="28">
        <v>228</v>
      </c>
      <c r="BV47" s="28">
        <v>233</v>
      </c>
      <c r="BW47" s="28">
        <v>229</v>
      </c>
      <c r="BX47" s="28">
        <v>228</v>
      </c>
      <c r="BY47" s="28">
        <v>229</v>
      </c>
      <c r="BZ47" s="28">
        <v>227</v>
      </c>
      <c r="CA47" s="28">
        <v>220</v>
      </c>
      <c r="CB47" s="28">
        <v>231</v>
      </c>
      <c r="CC47" s="28">
        <v>233</v>
      </c>
    </row>
    <row r="48" spans="1:81" x14ac:dyDescent="0.25">
      <c r="A48" s="21" t="s">
        <v>269</v>
      </c>
      <c r="B48" s="22">
        <v>2</v>
      </c>
      <c r="C48" s="21" t="s">
        <v>270</v>
      </c>
      <c r="D48" s="23">
        <v>14207</v>
      </c>
      <c r="E48" s="24">
        <v>59.983734299999988</v>
      </c>
      <c r="F48" s="25">
        <v>0</v>
      </c>
      <c r="G48" s="21" t="s">
        <v>252</v>
      </c>
      <c r="H48" s="26">
        <v>236.84754151760109</v>
      </c>
      <c r="I48" s="24">
        <v>241.37098720733769</v>
      </c>
      <c r="J48" s="24">
        <v>186.27995940587121</v>
      </c>
      <c r="K48" s="24">
        <v>167.26605901360631</v>
      </c>
      <c r="L48" s="24">
        <v>165.23176646803049</v>
      </c>
      <c r="M48" s="24">
        <v>83.044752817293229</v>
      </c>
      <c r="N48" s="24">
        <v>42.085062327977312</v>
      </c>
      <c r="O48" s="24">
        <v>466.4831832812427</v>
      </c>
      <c r="P48" s="27">
        <v>4.2221253114661783</v>
      </c>
      <c r="Q48" s="27">
        <v>0.43458123284880762</v>
      </c>
      <c r="R48" s="24">
        <v>10.29294965899282</v>
      </c>
      <c r="S48" s="24">
        <v>2.8157116711248771E-2</v>
      </c>
      <c r="T48" s="24">
        <v>2.8155134792707821E-2</v>
      </c>
      <c r="U48" s="22"/>
      <c r="V48" s="28">
        <v>239</v>
      </c>
      <c r="W48" s="28">
        <v>241</v>
      </c>
      <c r="X48" s="28">
        <v>239</v>
      </c>
      <c r="Y48" s="28">
        <v>236</v>
      </c>
      <c r="Z48" s="28">
        <v>241</v>
      </c>
      <c r="AA48" s="28">
        <v>240</v>
      </c>
      <c r="AB48" s="28">
        <v>233</v>
      </c>
      <c r="AC48" s="28">
        <v>228</v>
      </c>
      <c r="AD48" s="28">
        <v>224</v>
      </c>
      <c r="AE48" s="28">
        <v>227</v>
      </c>
      <c r="AF48" s="28">
        <v>228</v>
      </c>
      <c r="AG48" s="28">
        <v>227</v>
      </c>
      <c r="AH48" s="28">
        <v>229</v>
      </c>
      <c r="AI48" s="28">
        <v>234</v>
      </c>
      <c r="AJ48" s="28">
        <v>239</v>
      </c>
      <c r="AK48" s="28">
        <v>235</v>
      </c>
      <c r="AL48" s="28">
        <v>240</v>
      </c>
      <c r="AM48" s="28">
        <v>234</v>
      </c>
      <c r="AN48" s="28">
        <v>239</v>
      </c>
      <c r="AO48" s="28">
        <v>238</v>
      </c>
      <c r="AP48" s="28">
        <v>240</v>
      </c>
      <c r="AQ48" s="28">
        <v>239</v>
      </c>
      <c r="AR48" s="28">
        <v>239</v>
      </c>
      <c r="AS48" s="28">
        <v>234</v>
      </c>
      <c r="AT48" s="28">
        <v>238</v>
      </c>
      <c r="AU48" s="28">
        <v>238</v>
      </c>
      <c r="AV48" s="28">
        <v>239</v>
      </c>
      <c r="AW48" s="28">
        <v>238</v>
      </c>
      <c r="AX48" s="28">
        <v>237</v>
      </c>
      <c r="AY48" s="28">
        <v>239</v>
      </c>
      <c r="AZ48" s="28">
        <v>236</v>
      </c>
      <c r="BA48" s="28">
        <v>239</v>
      </c>
      <c r="BB48" s="28">
        <v>240</v>
      </c>
      <c r="BC48" s="28">
        <v>238</v>
      </c>
      <c r="BD48" s="28">
        <v>240</v>
      </c>
      <c r="BE48" s="28">
        <v>237</v>
      </c>
      <c r="BF48" s="28">
        <v>240</v>
      </c>
      <c r="BG48" s="28">
        <v>238</v>
      </c>
      <c r="BH48" s="28">
        <v>237</v>
      </c>
      <c r="BI48" s="28">
        <v>239</v>
      </c>
      <c r="BJ48" s="28">
        <v>239</v>
      </c>
      <c r="BK48" s="28">
        <v>240</v>
      </c>
      <c r="BL48" s="28">
        <v>237</v>
      </c>
      <c r="BM48" s="28">
        <v>238</v>
      </c>
      <c r="BN48" s="28">
        <v>238</v>
      </c>
      <c r="BO48" s="28">
        <v>237</v>
      </c>
      <c r="BP48" s="28">
        <v>239</v>
      </c>
      <c r="BQ48" s="28">
        <v>236</v>
      </c>
      <c r="BR48" s="28">
        <v>236</v>
      </c>
      <c r="BS48" s="28">
        <v>238</v>
      </c>
      <c r="BT48" s="28">
        <v>240</v>
      </c>
      <c r="BU48" s="28">
        <v>242</v>
      </c>
      <c r="BV48" s="28">
        <v>240</v>
      </c>
      <c r="BW48" s="28">
        <v>229</v>
      </c>
      <c r="BX48" s="28">
        <v>231</v>
      </c>
      <c r="BY48" s="28">
        <v>239</v>
      </c>
      <c r="BZ48" s="28">
        <v>240</v>
      </c>
      <c r="CA48" s="28">
        <v>235</v>
      </c>
      <c r="CB48" s="28">
        <v>239</v>
      </c>
      <c r="CC48" s="28">
        <v>238</v>
      </c>
    </row>
    <row r="49" spans="1:81" x14ac:dyDescent="0.25">
      <c r="A49" s="21" t="s">
        <v>269</v>
      </c>
      <c r="B49" s="22">
        <v>3</v>
      </c>
      <c r="C49" s="21" t="s">
        <v>270</v>
      </c>
      <c r="D49" s="23">
        <v>14284</v>
      </c>
      <c r="E49" s="24">
        <v>59.993823100000007</v>
      </c>
      <c r="F49" s="25">
        <v>0</v>
      </c>
      <c r="G49" s="21" t="s">
        <v>252</v>
      </c>
      <c r="H49" s="26">
        <v>238.091177756598</v>
      </c>
      <c r="I49" s="24">
        <v>242.40367483971059</v>
      </c>
      <c r="J49" s="24">
        <v>187.3286411255304</v>
      </c>
      <c r="K49" s="24">
        <v>162.80509267354029</v>
      </c>
      <c r="L49" s="24">
        <v>161.88548353046471</v>
      </c>
      <c r="M49" s="24">
        <v>77.883924913665666</v>
      </c>
      <c r="N49" s="24">
        <v>40.330874494351661</v>
      </c>
      <c r="O49" s="24">
        <v>458.8839941262849</v>
      </c>
      <c r="P49" s="27">
        <v>4.2000716255950721</v>
      </c>
      <c r="Q49" s="27">
        <v>0.4380696541241404</v>
      </c>
      <c r="R49" s="24">
        <v>10.430051988984211</v>
      </c>
      <c r="S49" s="24">
        <v>2.8005321010992089E-2</v>
      </c>
      <c r="T49" s="24">
        <v>2.8003360403248391E-2</v>
      </c>
      <c r="U49" s="22"/>
      <c r="V49" s="28">
        <v>241</v>
      </c>
      <c r="W49" s="28">
        <v>241</v>
      </c>
      <c r="X49" s="28">
        <v>241</v>
      </c>
      <c r="Y49" s="28">
        <v>241</v>
      </c>
      <c r="Z49" s="28">
        <v>240</v>
      </c>
      <c r="AA49" s="28">
        <v>240</v>
      </c>
      <c r="AB49" s="28">
        <v>241</v>
      </c>
      <c r="AC49" s="28">
        <v>239</v>
      </c>
      <c r="AD49" s="28">
        <v>236</v>
      </c>
      <c r="AE49" s="28">
        <v>238</v>
      </c>
      <c r="AF49" s="28">
        <v>239</v>
      </c>
      <c r="AG49" s="28">
        <v>241</v>
      </c>
      <c r="AH49" s="28">
        <v>242</v>
      </c>
      <c r="AI49" s="28">
        <v>239</v>
      </c>
      <c r="AJ49" s="28">
        <v>240</v>
      </c>
      <c r="AK49" s="28">
        <v>241</v>
      </c>
      <c r="AL49" s="28">
        <v>242</v>
      </c>
      <c r="AM49" s="28">
        <v>241</v>
      </c>
      <c r="AN49" s="28">
        <v>234</v>
      </c>
      <c r="AO49" s="28">
        <v>240</v>
      </c>
      <c r="AP49" s="28">
        <v>239</v>
      </c>
      <c r="AQ49" s="28">
        <v>242</v>
      </c>
      <c r="AR49" s="28">
        <v>239</v>
      </c>
      <c r="AS49" s="28">
        <v>238</v>
      </c>
      <c r="AT49" s="28">
        <v>238</v>
      </c>
      <c r="AU49" s="28">
        <v>240</v>
      </c>
      <c r="AV49" s="28">
        <v>237</v>
      </c>
      <c r="AW49" s="28">
        <v>238</v>
      </c>
      <c r="AX49" s="28">
        <v>237</v>
      </c>
      <c r="AY49" s="28">
        <v>241</v>
      </c>
      <c r="AZ49" s="28">
        <v>242</v>
      </c>
      <c r="BA49" s="28">
        <v>238</v>
      </c>
      <c r="BB49" s="28">
        <v>241</v>
      </c>
      <c r="BC49" s="28">
        <v>233</v>
      </c>
      <c r="BD49" s="28">
        <v>233</v>
      </c>
      <c r="BE49" s="28">
        <v>231</v>
      </c>
      <c r="BF49" s="28">
        <v>231</v>
      </c>
      <c r="BG49" s="28">
        <v>230</v>
      </c>
      <c r="BH49" s="28">
        <v>228</v>
      </c>
      <c r="BI49" s="28">
        <v>230</v>
      </c>
      <c r="BJ49" s="28">
        <v>220</v>
      </c>
      <c r="BK49" s="28">
        <v>230</v>
      </c>
      <c r="BL49" s="28">
        <v>234</v>
      </c>
      <c r="BM49" s="28">
        <v>237</v>
      </c>
      <c r="BN49" s="28">
        <v>240</v>
      </c>
      <c r="BO49" s="28">
        <v>237</v>
      </c>
      <c r="BP49" s="28">
        <v>241</v>
      </c>
      <c r="BQ49" s="28">
        <v>241</v>
      </c>
      <c r="BR49" s="28">
        <v>237</v>
      </c>
      <c r="BS49" s="28">
        <v>242</v>
      </c>
      <c r="BT49" s="28">
        <v>244</v>
      </c>
      <c r="BU49" s="28">
        <v>241</v>
      </c>
      <c r="BV49" s="28">
        <v>239</v>
      </c>
      <c r="BW49" s="28">
        <v>238</v>
      </c>
      <c r="BX49" s="28">
        <v>240</v>
      </c>
      <c r="BY49" s="28">
        <v>242</v>
      </c>
      <c r="BZ49" s="28">
        <v>234</v>
      </c>
      <c r="CA49" s="28">
        <v>242</v>
      </c>
      <c r="CB49" s="28">
        <v>240</v>
      </c>
      <c r="CC49" s="28">
        <v>242</v>
      </c>
    </row>
    <row r="50" spans="1:81" x14ac:dyDescent="0.25">
      <c r="A50" s="21" t="s">
        <v>269</v>
      </c>
      <c r="B50" s="22">
        <v>4</v>
      </c>
      <c r="C50" s="21" t="s">
        <v>270</v>
      </c>
      <c r="D50" s="23">
        <v>14368</v>
      </c>
      <c r="E50" s="24">
        <v>59.996009099999988</v>
      </c>
      <c r="F50" s="25">
        <v>0</v>
      </c>
      <c r="G50" s="21" t="s">
        <v>252</v>
      </c>
      <c r="H50" s="26">
        <v>239.48259585152979</v>
      </c>
      <c r="I50" s="24">
        <v>244.11082631514711</v>
      </c>
      <c r="J50" s="24">
        <v>189.21758716923111</v>
      </c>
      <c r="K50" s="24">
        <v>166.0953153912522</v>
      </c>
      <c r="L50" s="24">
        <v>168.32365472318679</v>
      </c>
      <c r="M50" s="24">
        <v>94.695624588665879</v>
      </c>
      <c r="N50" s="24">
        <v>44.848479412305529</v>
      </c>
      <c r="O50" s="24">
        <v>387.85246092386461</v>
      </c>
      <c r="P50" s="27">
        <v>4.1756687847995542</v>
      </c>
      <c r="Q50" s="27">
        <v>0.40837277039973208</v>
      </c>
      <c r="R50" s="24">
        <v>9.7798171130408598</v>
      </c>
      <c r="S50" s="24">
        <v>2.784158140182362E-2</v>
      </c>
      <c r="T50" s="24">
        <v>2.7839643652561249E-2</v>
      </c>
      <c r="U50" s="22"/>
      <c r="V50" s="28">
        <v>234</v>
      </c>
      <c r="W50" s="28">
        <v>243</v>
      </c>
      <c r="X50" s="28">
        <v>239</v>
      </c>
      <c r="Y50" s="28">
        <v>240</v>
      </c>
      <c r="Z50" s="28">
        <v>238</v>
      </c>
      <c r="AA50" s="28">
        <v>242</v>
      </c>
      <c r="AB50" s="28">
        <v>241</v>
      </c>
      <c r="AC50" s="28">
        <v>244</v>
      </c>
      <c r="AD50" s="28">
        <v>241</v>
      </c>
      <c r="AE50" s="28">
        <v>243</v>
      </c>
      <c r="AF50" s="28">
        <v>241</v>
      </c>
      <c r="AG50" s="28">
        <v>241</v>
      </c>
      <c r="AH50" s="28">
        <v>225</v>
      </c>
      <c r="AI50" s="28">
        <v>238</v>
      </c>
      <c r="AJ50" s="28">
        <v>235</v>
      </c>
      <c r="AK50" s="28">
        <v>237</v>
      </c>
      <c r="AL50" s="28">
        <v>242</v>
      </c>
      <c r="AM50" s="28">
        <v>238</v>
      </c>
      <c r="AN50" s="28">
        <v>238</v>
      </c>
      <c r="AO50" s="28">
        <v>239</v>
      </c>
      <c r="AP50" s="28">
        <v>229</v>
      </c>
      <c r="AQ50" s="28">
        <v>225</v>
      </c>
      <c r="AR50" s="28">
        <v>235</v>
      </c>
      <c r="AS50" s="28">
        <v>240</v>
      </c>
      <c r="AT50" s="28">
        <v>239</v>
      </c>
      <c r="AU50" s="28">
        <v>241</v>
      </c>
      <c r="AV50" s="28">
        <v>233</v>
      </c>
      <c r="AW50" s="28">
        <v>238</v>
      </c>
      <c r="AX50" s="28">
        <v>240</v>
      </c>
      <c r="AY50" s="28">
        <v>240</v>
      </c>
      <c r="AZ50" s="28">
        <v>241</v>
      </c>
      <c r="BA50" s="28">
        <v>240</v>
      </c>
      <c r="BB50" s="28">
        <v>244</v>
      </c>
      <c r="BC50" s="28">
        <v>244</v>
      </c>
      <c r="BD50" s="28">
        <v>239</v>
      </c>
      <c r="BE50" s="28">
        <v>243</v>
      </c>
      <c r="BF50" s="28">
        <v>242</v>
      </c>
      <c r="BG50" s="28">
        <v>241</v>
      </c>
      <c r="BH50" s="28">
        <v>242</v>
      </c>
      <c r="BI50" s="28">
        <v>241</v>
      </c>
      <c r="BJ50" s="28">
        <v>243</v>
      </c>
      <c r="BK50" s="28">
        <v>242</v>
      </c>
      <c r="BL50" s="28">
        <v>239</v>
      </c>
      <c r="BM50" s="28">
        <v>240</v>
      </c>
      <c r="BN50" s="28">
        <v>237</v>
      </c>
      <c r="BO50" s="28">
        <v>240</v>
      </c>
      <c r="BP50" s="28">
        <v>241</v>
      </c>
      <c r="BQ50" s="28">
        <v>242</v>
      </c>
      <c r="BR50" s="28">
        <v>242</v>
      </c>
      <c r="BS50" s="28">
        <v>242</v>
      </c>
      <c r="BT50" s="28">
        <v>243</v>
      </c>
      <c r="BU50" s="28">
        <v>243</v>
      </c>
      <c r="BV50" s="28">
        <v>240</v>
      </c>
      <c r="BW50" s="28">
        <v>241</v>
      </c>
      <c r="BX50" s="28">
        <v>237</v>
      </c>
      <c r="BY50" s="28">
        <v>239</v>
      </c>
      <c r="BZ50" s="28">
        <v>239</v>
      </c>
      <c r="CA50" s="28">
        <v>240</v>
      </c>
      <c r="CB50" s="28">
        <v>242</v>
      </c>
      <c r="CC50" s="28">
        <v>240</v>
      </c>
    </row>
    <row r="51" spans="1:81" x14ac:dyDescent="0.25">
      <c r="A51" s="21" t="s">
        <v>269</v>
      </c>
      <c r="B51" s="22">
        <v>5</v>
      </c>
      <c r="C51" s="21" t="s">
        <v>270</v>
      </c>
      <c r="D51" s="23">
        <v>14051</v>
      </c>
      <c r="E51" s="24">
        <v>59.998623700000003</v>
      </c>
      <c r="F51" s="25">
        <v>0</v>
      </c>
      <c r="G51" s="21" t="s">
        <v>252</v>
      </c>
      <c r="H51" s="26">
        <v>234.18870523191691</v>
      </c>
      <c r="I51" s="24">
        <v>237.76689333777159</v>
      </c>
      <c r="J51" s="24">
        <v>183.4559430552753</v>
      </c>
      <c r="K51" s="24">
        <v>160.41361045319101</v>
      </c>
      <c r="L51" s="24">
        <v>166.07764462041291</v>
      </c>
      <c r="M51" s="24">
        <v>106.2542786321128</v>
      </c>
      <c r="N51" s="24">
        <v>45.005310626653937</v>
      </c>
      <c r="O51" s="24">
        <v>410.29007508308382</v>
      </c>
      <c r="P51" s="27">
        <v>4.2700607572414766</v>
      </c>
      <c r="Q51" s="27">
        <v>0.44142288314957268</v>
      </c>
      <c r="R51" s="24">
        <v>10.337625346453819</v>
      </c>
      <c r="S51" s="24">
        <v>7.1174377224199276E-3</v>
      </c>
      <c r="T51" s="24">
        <v>1.4233862358550989E-2</v>
      </c>
      <c r="U51" s="22"/>
      <c r="V51" s="28">
        <v>241</v>
      </c>
      <c r="W51" s="28">
        <v>235</v>
      </c>
      <c r="X51" s="28">
        <v>242</v>
      </c>
      <c r="Y51" s="28">
        <v>240</v>
      </c>
      <c r="Z51" s="28">
        <v>231</v>
      </c>
      <c r="AA51" s="28">
        <v>233</v>
      </c>
      <c r="AB51" s="28">
        <v>234</v>
      </c>
      <c r="AC51" s="28">
        <v>233</v>
      </c>
      <c r="AD51" s="28">
        <v>231</v>
      </c>
      <c r="AE51" s="28">
        <v>228</v>
      </c>
      <c r="AF51" s="28">
        <v>229</v>
      </c>
      <c r="AG51" s="28">
        <v>230</v>
      </c>
      <c r="AH51" s="28">
        <v>228</v>
      </c>
      <c r="AI51" s="28">
        <v>220</v>
      </c>
      <c r="AJ51" s="28">
        <v>243</v>
      </c>
      <c r="AK51" s="28">
        <v>243</v>
      </c>
      <c r="AL51" s="28">
        <v>238</v>
      </c>
      <c r="AM51" s="28">
        <v>240</v>
      </c>
      <c r="AN51" s="28">
        <v>243</v>
      </c>
      <c r="AO51" s="28">
        <v>227</v>
      </c>
      <c r="AP51" s="28">
        <v>237</v>
      </c>
      <c r="AQ51" s="28">
        <v>239</v>
      </c>
      <c r="AR51" s="28">
        <v>242</v>
      </c>
      <c r="AS51" s="28">
        <v>246</v>
      </c>
      <c r="AT51" s="28">
        <v>240</v>
      </c>
      <c r="AU51" s="28">
        <v>242</v>
      </c>
      <c r="AV51" s="28">
        <v>241</v>
      </c>
      <c r="AW51" s="28">
        <v>240</v>
      </c>
      <c r="AX51" s="28">
        <v>241</v>
      </c>
      <c r="AY51" s="28">
        <v>231</v>
      </c>
      <c r="AZ51" s="28">
        <v>240</v>
      </c>
      <c r="BA51" s="28">
        <v>242</v>
      </c>
      <c r="BB51" s="28">
        <v>240</v>
      </c>
      <c r="BC51" s="28">
        <v>237</v>
      </c>
      <c r="BD51" s="28">
        <v>232</v>
      </c>
      <c r="BE51" s="28">
        <v>231</v>
      </c>
      <c r="BF51" s="28">
        <v>232</v>
      </c>
      <c r="BG51" s="28">
        <v>231</v>
      </c>
      <c r="BH51" s="28">
        <v>230</v>
      </c>
      <c r="BI51" s="28">
        <v>228</v>
      </c>
      <c r="BJ51" s="28">
        <v>233</v>
      </c>
      <c r="BK51" s="28">
        <v>231</v>
      </c>
      <c r="BL51" s="28">
        <v>233</v>
      </c>
      <c r="BM51" s="28">
        <v>231</v>
      </c>
      <c r="BN51" s="28">
        <v>230</v>
      </c>
      <c r="BO51" s="28">
        <v>226</v>
      </c>
      <c r="BP51" s="28">
        <v>228</v>
      </c>
      <c r="BQ51" s="28">
        <v>234</v>
      </c>
      <c r="BR51" s="28">
        <v>232</v>
      </c>
      <c r="BS51" s="28">
        <v>228</v>
      </c>
      <c r="BT51" s="28">
        <v>231</v>
      </c>
      <c r="BU51" s="28">
        <v>231</v>
      </c>
      <c r="BV51" s="28">
        <v>231</v>
      </c>
      <c r="BW51" s="28">
        <v>229</v>
      </c>
      <c r="BX51" s="28">
        <v>230</v>
      </c>
      <c r="BY51" s="28">
        <v>230</v>
      </c>
      <c r="BZ51" s="28">
        <v>231</v>
      </c>
      <c r="CA51" s="28">
        <v>228</v>
      </c>
      <c r="CB51" s="28">
        <v>237</v>
      </c>
      <c r="CC51" s="28">
        <v>236</v>
      </c>
    </row>
    <row r="52" spans="1:81" x14ac:dyDescent="0.25">
      <c r="A52" s="13" t="s">
        <v>271</v>
      </c>
      <c r="B52" s="14">
        <v>1</v>
      </c>
      <c r="C52" s="13" t="s">
        <v>272</v>
      </c>
      <c r="D52" s="15">
        <v>13678</v>
      </c>
      <c r="E52" s="16">
        <v>60.007801700000002</v>
      </c>
      <c r="F52" s="17">
        <v>0</v>
      </c>
      <c r="G52" s="13" t="s">
        <v>252</v>
      </c>
      <c r="H52" s="18">
        <v>227.93702839475949</v>
      </c>
      <c r="I52" s="16">
        <v>230.07811151886071</v>
      </c>
      <c r="J52" s="16">
        <v>179.24934318559431</v>
      </c>
      <c r="K52" s="16">
        <v>159.35907818549981</v>
      </c>
      <c r="L52" s="16">
        <v>159.24903463566969</v>
      </c>
      <c r="M52" s="16">
        <v>82.603531135748995</v>
      </c>
      <c r="N52" s="16">
        <v>38.311093743415277</v>
      </c>
      <c r="O52" s="16">
        <v>350.45910142286391</v>
      </c>
      <c r="P52" s="19">
        <v>4.3871766120777904</v>
      </c>
      <c r="Q52" s="19">
        <v>0.47650794229844262</v>
      </c>
      <c r="R52" s="16">
        <v>10.861380437400859</v>
      </c>
      <c r="S52" s="16">
        <v>2.193463478833077E-2</v>
      </c>
      <c r="T52" s="16">
        <v>2.193303114490423E-2</v>
      </c>
      <c r="U52" s="14"/>
      <c r="V52" s="20">
        <v>231</v>
      </c>
      <c r="W52" s="20">
        <v>229</v>
      </c>
      <c r="X52" s="20">
        <v>228</v>
      </c>
      <c r="Y52" s="20">
        <v>229</v>
      </c>
      <c r="Z52" s="20">
        <v>227</v>
      </c>
      <c r="AA52" s="20">
        <v>228</v>
      </c>
      <c r="AB52" s="20">
        <v>228</v>
      </c>
      <c r="AC52" s="20">
        <v>225</v>
      </c>
      <c r="AD52" s="20">
        <v>228</v>
      </c>
      <c r="AE52" s="20">
        <v>228</v>
      </c>
      <c r="AF52" s="20">
        <v>229</v>
      </c>
      <c r="AG52" s="20">
        <v>229</v>
      </c>
      <c r="AH52" s="20">
        <v>228</v>
      </c>
      <c r="AI52" s="20">
        <v>231</v>
      </c>
      <c r="AJ52" s="20">
        <v>228</v>
      </c>
      <c r="AK52" s="20">
        <v>227</v>
      </c>
      <c r="AL52" s="20">
        <v>229</v>
      </c>
      <c r="AM52" s="20">
        <v>226</v>
      </c>
      <c r="AN52" s="20">
        <v>228</v>
      </c>
      <c r="AO52" s="20">
        <v>223</v>
      </c>
      <c r="AP52" s="20">
        <v>229</v>
      </c>
      <c r="AQ52" s="20">
        <v>229</v>
      </c>
      <c r="AR52" s="20">
        <v>227</v>
      </c>
      <c r="AS52" s="20">
        <v>229</v>
      </c>
      <c r="AT52" s="20">
        <v>232</v>
      </c>
      <c r="AU52" s="20">
        <v>230</v>
      </c>
      <c r="AV52" s="20">
        <v>230</v>
      </c>
      <c r="AW52" s="20">
        <v>228</v>
      </c>
      <c r="AX52" s="20">
        <v>227</v>
      </c>
      <c r="AY52" s="20">
        <v>230</v>
      </c>
      <c r="AZ52" s="20">
        <v>230</v>
      </c>
      <c r="BA52" s="20">
        <v>227</v>
      </c>
      <c r="BB52" s="20">
        <v>230</v>
      </c>
      <c r="BC52" s="20">
        <v>228</v>
      </c>
      <c r="BD52" s="20">
        <v>228</v>
      </c>
      <c r="BE52" s="20">
        <v>227</v>
      </c>
      <c r="BF52" s="20">
        <v>230</v>
      </c>
      <c r="BG52" s="20">
        <v>223</v>
      </c>
      <c r="BH52" s="20">
        <v>227</v>
      </c>
      <c r="BI52" s="20">
        <v>230</v>
      </c>
      <c r="BJ52" s="20">
        <v>226</v>
      </c>
      <c r="BK52" s="20">
        <v>226</v>
      </c>
      <c r="BL52" s="20">
        <v>226</v>
      </c>
      <c r="BM52" s="20">
        <v>226</v>
      </c>
      <c r="BN52" s="20">
        <v>229</v>
      </c>
      <c r="BO52" s="20">
        <v>231</v>
      </c>
      <c r="BP52" s="20">
        <v>230</v>
      </c>
      <c r="BQ52" s="20">
        <v>226</v>
      </c>
      <c r="BR52" s="20">
        <v>229</v>
      </c>
      <c r="BS52" s="20">
        <v>229</v>
      </c>
      <c r="BT52" s="20">
        <v>227</v>
      </c>
      <c r="BU52" s="20">
        <v>229</v>
      </c>
      <c r="BV52" s="20">
        <v>228</v>
      </c>
      <c r="BW52" s="20">
        <v>223</v>
      </c>
      <c r="BX52" s="20">
        <v>229</v>
      </c>
      <c r="BY52" s="20">
        <v>228</v>
      </c>
      <c r="BZ52" s="20">
        <v>225</v>
      </c>
      <c r="CA52" s="20">
        <v>226</v>
      </c>
      <c r="CB52" s="20">
        <v>227</v>
      </c>
      <c r="CC52" s="20">
        <v>227</v>
      </c>
    </row>
    <row r="53" spans="1:81" x14ac:dyDescent="0.25">
      <c r="A53" s="13" t="s">
        <v>271</v>
      </c>
      <c r="B53" s="14">
        <v>2</v>
      </c>
      <c r="C53" s="13" t="s">
        <v>272</v>
      </c>
      <c r="D53" s="15">
        <v>14097</v>
      </c>
      <c r="E53" s="16">
        <v>59.987548299999993</v>
      </c>
      <c r="F53" s="17">
        <v>0</v>
      </c>
      <c r="G53" s="13" t="s">
        <v>252</v>
      </c>
      <c r="H53" s="18">
        <v>234.9987689028458</v>
      </c>
      <c r="I53" s="16">
        <v>238.3960712327461</v>
      </c>
      <c r="J53" s="16">
        <v>186.75852197811639</v>
      </c>
      <c r="K53" s="16">
        <v>163.75855491066591</v>
      </c>
      <c r="L53" s="16">
        <v>165.99356276963579</v>
      </c>
      <c r="M53" s="16">
        <v>97.570812016821193</v>
      </c>
      <c r="N53" s="16">
        <v>42.736503812096139</v>
      </c>
      <c r="O53" s="16">
        <v>438.30813061582302</v>
      </c>
      <c r="P53" s="19">
        <v>4.2553414414414412</v>
      </c>
      <c r="Q53" s="19">
        <v>0.43181742360190312</v>
      </c>
      <c r="R53" s="16">
        <v>10.147656293724591</v>
      </c>
      <c r="S53" s="16">
        <v>2.1282633371169129E-2</v>
      </c>
      <c r="T53" s="16">
        <v>1.418741576221891E-2</v>
      </c>
      <c r="U53" s="14"/>
      <c r="V53" s="20">
        <v>228</v>
      </c>
      <c r="W53" s="20">
        <v>230</v>
      </c>
      <c r="X53" s="20">
        <v>228</v>
      </c>
      <c r="Y53" s="20">
        <v>227</v>
      </c>
      <c r="Z53" s="20">
        <v>227</v>
      </c>
      <c r="AA53" s="20">
        <v>229</v>
      </c>
      <c r="AB53" s="20">
        <v>224</v>
      </c>
      <c r="AC53" s="20">
        <v>231</v>
      </c>
      <c r="AD53" s="20">
        <v>231</v>
      </c>
      <c r="AE53" s="20">
        <v>228</v>
      </c>
      <c r="AF53" s="20">
        <v>231</v>
      </c>
      <c r="AG53" s="20">
        <v>230</v>
      </c>
      <c r="AH53" s="20">
        <v>229</v>
      </c>
      <c r="AI53" s="20">
        <v>228</v>
      </c>
      <c r="AJ53" s="20">
        <v>230</v>
      </c>
      <c r="AK53" s="20">
        <v>229</v>
      </c>
      <c r="AL53" s="20">
        <v>233</v>
      </c>
      <c r="AM53" s="20">
        <v>228</v>
      </c>
      <c r="AN53" s="20">
        <v>228</v>
      </c>
      <c r="AO53" s="20">
        <v>235</v>
      </c>
      <c r="AP53" s="20">
        <v>231</v>
      </c>
      <c r="AQ53" s="20">
        <v>227</v>
      </c>
      <c r="AR53" s="20">
        <v>226</v>
      </c>
      <c r="AS53" s="20">
        <v>225</v>
      </c>
      <c r="AT53" s="20">
        <v>231</v>
      </c>
      <c r="AU53" s="20">
        <v>237</v>
      </c>
      <c r="AV53" s="20">
        <v>238</v>
      </c>
      <c r="AW53" s="20">
        <v>238</v>
      </c>
      <c r="AX53" s="20">
        <v>238</v>
      </c>
      <c r="AY53" s="20">
        <v>237</v>
      </c>
      <c r="AZ53" s="20">
        <v>237</v>
      </c>
      <c r="BA53" s="20">
        <v>243</v>
      </c>
      <c r="BB53" s="20">
        <v>240</v>
      </c>
      <c r="BC53" s="20">
        <v>238</v>
      </c>
      <c r="BD53" s="20">
        <v>241</v>
      </c>
      <c r="BE53" s="20">
        <v>240</v>
      </c>
      <c r="BF53" s="20">
        <v>239</v>
      </c>
      <c r="BG53" s="20">
        <v>238</v>
      </c>
      <c r="BH53" s="20">
        <v>240</v>
      </c>
      <c r="BI53" s="20">
        <v>240</v>
      </c>
      <c r="BJ53" s="20">
        <v>239</v>
      </c>
      <c r="BK53" s="20">
        <v>241</v>
      </c>
      <c r="BL53" s="20">
        <v>238</v>
      </c>
      <c r="BM53" s="20">
        <v>241</v>
      </c>
      <c r="BN53" s="20">
        <v>239</v>
      </c>
      <c r="BO53" s="20">
        <v>240</v>
      </c>
      <c r="BP53" s="20">
        <v>241</v>
      </c>
      <c r="BQ53" s="20">
        <v>242</v>
      </c>
      <c r="BR53" s="20">
        <v>241</v>
      </c>
      <c r="BS53" s="20">
        <v>238</v>
      </c>
      <c r="BT53" s="20">
        <v>237</v>
      </c>
      <c r="BU53" s="20">
        <v>236</v>
      </c>
      <c r="BV53" s="20">
        <v>240</v>
      </c>
      <c r="BW53" s="20">
        <v>238</v>
      </c>
      <c r="BX53" s="20">
        <v>239</v>
      </c>
      <c r="BY53" s="20">
        <v>239</v>
      </c>
      <c r="BZ53" s="20">
        <v>239</v>
      </c>
      <c r="CA53" s="20">
        <v>242</v>
      </c>
      <c r="CB53" s="20">
        <v>242</v>
      </c>
      <c r="CC53" s="20">
        <v>237</v>
      </c>
    </row>
    <row r="54" spans="1:81" x14ac:dyDescent="0.25">
      <c r="A54" s="13" t="s">
        <v>271</v>
      </c>
      <c r="B54" s="14">
        <v>3</v>
      </c>
      <c r="C54" s="13" t="s">
        <v>272</v>
      </c>
      <c r="D54" s="15">
        <v>14333</v>
      </c>
      <c r="E54" s="16">
        <v>59.990962699999997</v>
      </c>
      <c r="F54" s="17">
        <v>0</v>
      </c>
      <c r="G54" s="13" t="s">
        <v>252</v>
      </c>
      <c r="H54" s="18">
        <v>238.91931975947429</v>
      </c>
      <c r="I54" s="16">
        <v>242.54772126415881</v>
      </c>
      <c r="J54" s="16">
        <v>191.81914370399701</v>
      </c>
      <c r="K54" s="16">
        <v>168.17074092799561</v>
      </c>
      <c r="L54" s="16">
        <v>171.27598614227611</v>
      </c>
      <c r="M54" s="16">
        <v>96.573725186588504</v>
      </c>
      <c r="N54" s="16">
        <v>41.999160016799657</v>
      </c>
      <c r="O54" s="16">
        <v>365.53715685199398</v>
      </c>
      <c r="P54" s="19">
        <v>4.1855133398451132</v>
      </c>
      <c r="Q54" s="19">
        <v>0.40343224456723858</v>
      </c>
      <c r="R54" s="16">
        <v>9.6387757441042545</v>
      </c>
      <c r="S54" s="16">
        <v>6.9773932458833381E-3</v>
      </c>
      <c r="T54" s="16">
        <v>1.395381287936929E-2</v>
      </c>
      <c r="U54" s="14"/>
      <c r="V54" s="20">
        <v>241</v>
      </c>
      <c r="W54" s="20">
        <v>241</v>
      </c>
      <c r="X54" s="20">
        <v>242</v>
      </c>
      <c r="Y54" s="20">
        <v>240</v>
      </c>
      <c r="Z54" s="20">
        <v>242</v>
      </c>
      <c r="AA54" s="20">
        <v>240</v>
      </c>
      <c r="AB54" s="20">
        <v>240</v>
      </c>
      <c r="AC54" s="20">
        <v>241</v>
      </c>
      <c r="AD54" s="20">
        <v>236</v>
      </c>
      <c r="AE54" s="20">
        <v>239</v>
      </c>
      <c r="AF54" s="20">
        <v>236</v>
      </c>
      <c r="AG54" s="20">
        <v>231</v>
      </c>
      <c r="AH54" s="20">
        <v>238</v>
      </c>
      <c r="AI54" s="20">
        <v>239</v>
      </c>
      <c r="AJ54" s="20">
        <v>238</v>
      </c>
      <c r="AK54" s="20">
        <v>238</v>
      </c>
      <c r="AL54" s="20">
        <v>241</v>
      </c>
      <c r="AM54" s="20">
        <v>238</v>
      </c>
      <c r="AN54" s="20">
        <v>238</v>
      </c>
      <c r="AO54" s="20">
        <v>242</v>
      </c>
      <c r="AP54" s="20">
        <v>241</v>
      </c>
      <c r="AQ54" s="20">
        <v>239</v>
      </c>
      <c r="AR54" s="20">
        <v>240</v>
      </c>
      <c r="AS54" s="20">
        <v>240</v>
      </c>
      <c r="AT54" s="20">
        <v>241</v>
      </c>
      <c r="AU54" s="20">
        <v>239</v>
      </c>
      <c r="AV54" s="20">
        <v>239</v>
      </c>
      <c r="AW54" s="20">
        <v>235</v>
      </c>
      <c r="AX54" s="20">
        <v>238</v>
      </c>
      <c r="AY54" s="20">
        <v>239</v>
      </c>
      <c r="AZ54" s="20">
        <v>239</v>
      </c>
      <c r="BA54" s="20">
        <v>239</v>
      </c>
      <c r="BB54" s="20">
        <v>240</v>
      </c>
      <c r="BC54" s="20">
        <v>238</v>
      </c>
      <c r="BD54" s="20">
        <v>229</v>
      </c>
      <c r="BE54" s="20">
        <v>238</v>
      </c>
      <c r="BF54" s="20">
        <v>240</v>
      </c>
      <c r="BG54" s="20">
        <v>238</v>
      </c>
      <c r="BH54" s="20">
        <v>233</v>
      </c>
      <c r="BI54" s="20">
        <v>239</v>
      </c>
      <c r="BJ54" s="20">
        <v>240</v>
      </c>
      <c r="BK54" s="20">
        <v>237</v>
      </c>
      <c r="BL54" s="20">
        <v>239</v>
      </c>
      <c r="BM54" s="20">
        <v>241</v>
      </c>
      <c r="BN54" s="20">
        <v>242</v>
      </c>
      <c r="BO54" s="20">
        <v>238</v>
      </c>
      <c r="BP54" s="20">
        <v>242</v>
      </c>
      <c r="BQ54" s="20">
        <v>241</v>
      </c>
      <c r="BR54" s="20">
        <v>235</v>
      </c>
      <c r="BS54" s="20">
        <v>240</v>
      </c>
      <c r="BT54" s="20">
        <v>239</v>
      </c>
      <c r="BU54" s="20">
        <v>239</v>
      </c>
      <c r="BV54" s="20">
        <v>241</v>
      </c>
      <c r="BW54" s="20">
        <v>239</v>
      </c>
      <c r="BX54" s="20">
        <v>236</v>
      </c>
      <c r="BY54" s="20">
        <v>241</v>
      </c>
      <c r="BZ54" s="20">
        <v>241</v>
      </c>
      <c r="CA54" s="20">
        <v>240</v>
      </c>
      <c r="CB54" s="20">
        <v>239</v>
      </c>
      <c r="CC54" s="20">
        <v>238</v>
      </c>
    </row>
    <row r="55" spans="1:81" x14ac:dyDescent="0.25">
      <c r="A55" s="13" t="s">
        <v>271</v>
      </c>
      <c r="B55" s="14">
        <v>4</v>
      </c>
      <c r="C55" s="13" t="s">
        <v>272</v>
      </c>
      <c r="D55" s="15">
        <v>14236</v>
      </c>
      <c r="E55" s="16">
        <v>60.0065417</v>
      </c>
      <c r="F55" s="17">
        <v>0</v>
      </c>
      <c r="G55" s="13" t="s">
        <v>252</v>
      </c>
      <c r="H55" s="18">
        <v>237.24080069756789</v>
      </c>
      <c r="I55" s="16">
        <v>240.80718568642089</v>
      </c>
      <c r="J55" s="16">
        <v>190.9584970802446</v>
      </c>
      <c r="K55" s="16">
        <v>172.68040569534469</v>
      </c>
      <c r="L55" s="16">
        <v>171.5357277278344</v>
      </c>
      <c r="M55" s="16">
        <v>93.129958200170449</v>
      </c>
      <c r="N55" s="16">
        <v>39.623576027736497</v>
      </c>
      <c r="O55" s="16">
        <v>444.03001642911062</v>
      </c>
      <c r="P55" s="19">
        <v>4.215126559426805</v>
      </c>
      <c r="Q55" s="19">
        <v>0.41645705475820333</v>
      </c>
      <c r="R55" s="16">
        <v>9.8800605126987051</v>
      </c>
      <c r="S55" s="16">
        <v>2.107481559536354E-2</v>
      </c>
      <c r="T55" s="16">
        <v>2.107333520651869E-2</v>
      </c>
      <c r="U55" s="14"/>
      <c r="V55" s="20">
        <v>238</v>
      </c>
      <c r="W55" s="20">
        <v>242</v>
      </c>
      <c r="X55" s="20">
        <v>239</v>
      </c>
      <c r="Y55" s="20">
        <v>237</v>
      </c>
      <c r="Z55" s="20">
        <v>239</v>
      </c>
      <c r="AA55" s="20">
        <v>237</v>
      </c>
      <c r="AB55" s="20">
        <v>241</v>
      </c>
      <c r="AC55" s="20">
        <v>238</v>
      </c>
      <c r="AD55" s="20">
        <v>239</v>
      </c>
      <c r="AE55" s="20">
        <v>243</v>
      </c>
      <c r="AF55" s="20">
        <v>238</v>
      </c>
      <c r="AG55" s="20">
        <v>237</v>
      </c>
      <c r="AH55" s="20">
        <v>238</v>
      </c>
      <c r="AI55" s="20">
        <v>238</v>
      </c>
      <c r="AJ55" s="20">
        <v>238</v>
      </c>
      <c r="AK55" s="20">
        <v>240</v>
      </c>
      <c r="AL55" s="20">
        <v>238</v>
      </c>
      <c r="AM55" s="20">
        <v>241</v>
      </c>
      <c r="AN55" s="20">
        <v>238</v>
      </c>
      <c r="AO55" s="20">
        <v>238</v>
      </c>
      <c r="AP55" s="20">
        <v>238</v>
      </c>
      <c r="AQ55" s="20">
        <v>237</v>
      </c>
      <c r="AR55" s="20">
        <v>236</v>
      </c>
      <c r="AS55" s="20">
        <v>235</v>
      </c>
      <c r="AT55" s="20">
        <v>237</v>
      </c>
      <c r="AU55" s="20">
        <v>237</v>
      </c>
      <c r="AV55" s="20">
        <v>239</v>
      </c>
      <c r="AW55" s="20">
        <v>237</v>
      </c>
      <c r="AX55" s="20">
        <v>239</v>
      </c>
      <c r="AY55" s="20">
        <v>239</v>
      </c>
      <c r="AZ55" s="20">
        <v>240</v>
      </c>
      <c r="BA55" s="20">
        <v>237</v>
      </c>
      <c r="BB55" s="20">
        <v>239</v>
      </c>
      <c r="BC55" s="20">
        <v>235</v>
      </c>
      <c r="BD55" s="20">
        <v>240</v>
      </c>
      <c r="BE55" s="20">
        <v>237</v>
      </c>
      <c r="BF55" s="20">
        <v>239</v>
      </c>
      <c r="BG55" s="20">
        <v>238</v>
      </c>
      <c r="BH55" s="20">
        <v>239</v>
      </c>
      <c r="BI55" s="20">
        <v>236</v>
      </c>
      <c r="BJ55" s="20">
        <v>233</v>
      </c>
      <c r="BK55" s="20">
        <v>240</v>
      </c>
      <c r="BL55" s="20">
        <v>237</v>
      </c>
      <c r="BM55" s="20">
        <v>230</v>
      </c>
      <c r="BN55" s="20">
        <v>228</v>
      </c>
      <c r="BO55" s="20">
        <v>231</v>
      </c>
      <c r="BP55" s="20">
        <v>230</v>
      </c>
      <c r="BQ55" s="20">
        <v>227</v>
      </c>
      <c r="BR55" s="20">
        <v>233</v>
      </c>
      <c r="BS55" s="20">
        <v>238</v>
      </c>
      <c r="BT55" s="20">
        <v>241</v>
      </c>
      <c r="BU55" s="20">
        <v>240</v>
      </c>
      <c r="BV55" s="20">
        <v>239</v>
      </c>
      <c r="BW55" s="20">
        <v>234</v>
      </c>
      <c r="BX55" s="20">
        <v>239</v>
      </c>
      <c r="BY55" s="20">
        <v>236</v>
      </c>
      <c r="BZ55" s="20">
        <v>239</v>
      </c>
      <c r="CA55" s="20">
        <v>238</v>
      </c>
      <c r="CB55" s="20">
        <v>232</v>
      </c>
      <c r="CC55" s="20">
        <v>239</v>
      </c>
    </row>
    <row r="56" spans="1:81" x14ac:dyDescent="0.25">
      <c r="A56" s="13" t="s">
        <v>271</v>
      </c>
      <c r="B56" s="14">
        <v>5</v>
      </c>
      <c r="C56" s="13" t="s">
        <v>272</v>
      </c>
      <c r="D56" s="15">
        <v>14249</v>
      </c>
      <c r="E56" s="16">
        <v>59.984906600000002</v>
      </c>
      <c r="F56" s="17">
        <v>0</v>
      </c>
      <c r="G56" s="13" t="s">
        <v>252</v>
      </c>
      <c r="H56" s="18">
        <v>237.5430888809619</v>
      </c>
      <c r="I56" s="16">
        <v>240.83618322816821</v>
      </c>
      <c r="J56" s="16">
        <v>191.2941277293846</v>
      </c>
      <c r="K56" s="16">
        <v>171.56095766698789</v>
      </c>
      <c r="L56" s="16">
        <v>173.01098503305261</v>
      </c>
      <c r="M56" s="16">
        <v>98.428426129466203</v>
      </c>
      <c r="N56" s="16">
        <v>38.839476443857542</v>
      </c>
      <c r="O56" s="16">
        <v>452.28403437358662</v>
      </c>
      <c r="P56" s="19">
        <v>4.2097625517580184</v>
      </c>
      <c r="Q56" s="19">
        <v>0.4154333701221683</v>
      </c>
      <c r="R56" s="16">
        <v>9.8683325963047768</v>
      </c>
      <c r="S56" s="16">
        <v>1.403705783267827E-2</v>
      </c>
      <c r="T56" s="16">
        <v>7.018036353428311E-3</v>
      </c>
      <c r="U56" s="14"/>
      <c r="V56" s="20">
        <v>239</v>
      </c>
      <c r="W56" s="20">
        <v>239</v>
      </c>
      <c r="X56" s="20">
        <v>238</v>
      </c>
      <c r="Y56" s="20">
        <v>238</v>
      </c>
      <c r="Z56" s="20">
        <v>238</v>
      </c>
      <c r="AA56" s="20">
        <v>240</v>
      </c>
      <c r="AB56" s="20">
        <v>236</v>
      </c>
      <c r="AC56" s="20">
        <v>237</v>
      </c>
      <c r="AD56" s="20">
        <v>235</v>
      </c>
      <c r="AE56" s="20">
        <v>234</v>
      </c>
      <c r="AF56" s="20">
        <v>237</v>
      </c>
      <c r="AG56" s="20">
        <v>238</v>
      </c>
      <c r="AH56" s="20">
        <v>236</v>
      </c>
      <c r="AI56" s="20">
        <v>240</v>
      </c>
      <c r="AJ56" s="20">
        <v>239</v>
      </c>
      <c r="AK56" s="20">
        <v>240</v>
      </c>
      <c r="AL56" s="20">
        <v>239</v>
      </c>
      <c r="AM56" s="20">
        <v>239</v>
      </c>
      <c r="AN56" s="20">
        <v>238</v>
      </c>
      <c r="AO56" s="20">
        <v>235</v>
      </c>
      <c r="AP56" s="20">
        <v>236</v>
      </c>
      <c r="AQ56" s="20">
        <v>238</v>
      </c>
      <c r="AR56" s="20">
        <v>239</v>
      </c>
      <c r="AS56" s="20">
        <v>238</v>
      </c>
      <c r="AT56" s="20">
        <v>238</v>
      </c>
      <c r="AU56" s="20">
        <v>236</v>
      </c>
      <c r="AV56" s="20">
        <v>230</v>
      </c>
      <c r="AW56" s="20">
        <v>240</v>
      </c>
      <c r="AX56" s="20">
        <v>239</v>
      </c>
      <c r="AY56" s="20">
        <v>238</v>
      </c>
      <c r="AZ56" s="20">
        <v>241</v>
      </c>
      <c r="BA56" s="20">
        <v>241</v>
      </c>
      <c r="BB56" s="20">
        <v>240</v>
      </c>
      <c r="BC56" s="20">
        <v>236</v>
      </c>
      <c r="BD56" s="20">
        <v>236</v>
      </c>
      <c r="BE56" s="20">
        <v>237</v>
      </c>
      <c r="BF56" s="20">
        <v>240</v>
      </c>
      <c r="BG56" s="20">
        <v>238</v>
      </c>
      <c r="BH56" s="20">
        <v>237</v>
      </c>
      <c r="BI56" s="20">
        <v>235</v>
      </c>
      <c r="BJ56" s="20">
        <v>236</v>
      </c>
      <c r="BK56" s="20">
        <v>236</v>
      </c>
      <c r="BL56" s="20">
        <v>237</v>
      </c>
      <c r="BM56" s="20">
        <v>238</v>
      </c>
      <c r="BN56" s="20">
        <v>231</v>
      </c>
      <c r="BO56" s="20">
        <v>234</v>
      </c>
      <c r="BP56" s="20">
        <v>240</v>
      </c>
      <c r="BQ56" s="20">
        <v>242</v>
      </c>
      <c r="BR56" s="20">
        <v>238</v>
      </c>
      <c r="BS56" s="20">
        <v>236</v>
      </c>
      <c r="BT56" s="20">
        <v>239</v>
      </c>
      <c r="BU56" s="20">
        <v>239</v>
      </c>
      <c r="BV56" s="20">
        <v>238</v>
      </c>
      <c r="BW56" s="20">
        <v>239</v>
      </c>
      <c r="BX56" s="20">
        <v>234</v>
      </c>
      <c r="BY56" s="20">
        <v>237</v>
      </c>
      <c r="BZ56" s="20">
        <v>238</v>
      </c>
      <c r="CA56" s="20">
        <v>237</v>
      </c>
      <c r="CB56" s="20">
        <v>238</v>
      </c>
      <c r="CC56" s="20">
        <v>234</v>
      </c>
    </row>
    <row r="57" spans="1:81" x14ac:dyDescent="0.25">
      <c r="A57" s="21" t="s">
        <v>273</v>
      </c>
      <c r="B57" s="22">
        <v>1</v>
      </c>
      <c r="C57" s="21" t="s">
        <v>274</v>
      </c>
      <c r="D57" s="23">
        <v>14215</v>
      </c>
      <c r="E57" s="24">
        <v>59.9934352</v>
      </c>
      <c r="F57" s="25">
        <v>0</v>
      </c>
      <c r="G57" s="21" t="s">
        <v>252</v>
      </c>
      <c r="H57" s="26">
        <v>236.94259134539439</v>
      </c>
      <c r="I57" s="24">
        <v>241.02774229313789</v>
      </c>
      <c r="J57" s="24">
        <v>186.3907189350976</v>
      </c>
      <c r="K57" s="24">
        <v>162.48881386382811</v>
      </c>
      <c r="L57" s="24">
        <v>164.89729646718371</v>
      </c>
      <c r="M57" s="24">
        <v>89.469579597357068</v>
      </c>
      <c r="N57" s="24">
        <v>40.020010005002497</v>
      </c>
      <c r="O57" s="24">
        <v>336.98399326032018</v>
      </c>
      <c r="P57" s="27">
        <v>4.2204316004220894</v>
      </c>
      <c r="Q57" s="27">
        <v>0.45596513424698792</v>
      </c>
      <c r="R57" s="24">
        <v>10.803756047163191</v>
      </c>
      <c r="S57" s="24">
        <v>2.814126917123962E-2</v>
      </c>
      <c r="T57" s="24">
        <v>2.110446711220542E-2</v>
      </c>
      <c r="U57" s="22"/>
      <c r="V57" s="28">
        <v>236</v>
      </c>
      <c r="W57" s="28">
        <v>236</v>
      </c>
      <c r="X57" s="28">
        <v>235</v>
      </c>
      <c r="Y57" s="28">
        <v>238</v>
      </c>
      <c r="Z57" s="28">
        <v>240</v>
      </c>
      <c r="AA57" s="28">
        <v>236</v>
      </c>
      <c r="AB57" s="28">
        <v>239</v>
      </c>
      <c r="AC57" s="28">
        <v>234</v>
      </c>
      <c r="AD57" s="28">
        <v>238</v>
      </c>
      <c r="AE57" s="28">
        <v>237</v>
      </c>
      <c r="AF57" s="28">
        <v>234</v>
      </c>
      <c r="AG57" s="28">
        <v>239</v>
      </c>
      <c r="AH57" s="28">
        <v>237</v>
      </c>
      <c r="AI57" s="28">
        <v>235</v>
      </c>
      <c r="AJ57" s="28">
        <v>238</v>
      </c>
      <c r="AK57" s="28">
        <v>237</v>
      </c>
      <c r="AL57" s="28">
        <v>237</v>
      </c>
      <c r="AM57" s="28">
        <v>235</v>
      </c>
      <c r="AN57" s="28">
        <v>236</v>
      </c>
      <c r="AO57" s="28">
        <v>237</v>
      </c>
      <c r="AP57" s="28">
        <v>232</v>
      </c>
      <c r="AQ57" s="28">
        <v>239</v>
      </c>
      <c r="AR57" s="28">
        <v>238</v>
      </c>
      <c r="AS57" s="28">
        <v>239</v>
      </c>
      <c r="AT57" s="28">
        <v>240</v>
      </c>
      <c r="AU57" s="28">
        <v>234</v>
      </c>
      <c r="AV57" s="28">
        <v>235</v>
      </c>
      <c r="AW57" s="28">
        <v>234</v>
      </c>
      <c r="AX57" s="28">
        <v>235</v>
      </c>
      <c r="AY57" s="28">
        <v>233</v>
      </c>
      <c r="AZ57" s="28">
        <v>235</v>
      </c>
      <c r="BA57" s="28">
        <v>239</v>
      </c>
      <c r="BB57" s="28">
        <v>239</v>
      </c>
      <c r="BC57" s="28">
        <v>237</v>
      </c>
      <c r="BD57" s="28">
        <v>236</v>
      </c>
      <c r="BE57" s="28">
        <v>237</v>
      </c>
      <c r="BF57" s="28">
        <v>236</v>
      </c>
      <c r="BG57" s="28">
        <v>234</v>
      </c>
      <c r="BH57" s="28">
        <v>238</v>
      </c>
      <c r="BI57" s="28">
        <v>239</v>
      </c>
      <c r="BJ57" s="28">
        <v>238</v>
      </c>
      <c r="BK57" s="28">
        <v>233</v>
      </c>
      <c r="BL57" s="28">
        <v>238</v>
      </c>
      <c r="BM57" s="28">
        <v>239</v>
      </c>
      <c r="BN57" s="28">
        <v>237</v>
      </c>
      <c r="BO57" s="28">
        <v>240</v>
      </c>
      <c r="BP57" s="28">
        <v>238</v>
      </c>
      <c r="BQ57" s="28">
        <v>236</v>
      </c>
      <c r="BR57" s="28">
        <v>239</v>
      </c>
      <c r="BS57" s="28">
        <v>239</v>
      </c>
      <c r="BT57" s="28">
        <v>237</v>
      </c>
      <c r="BU57" s="28">
        <v>236</v>
      </c>
      <c r="BV57" s="28">
        <v>237</v>
      </c>
      <c r="BW57" s="28">
        <v>238</v>
      </c>
      <c r="BX57" s="28">
        <v>238</v>
      </c>
      <c r="BY57" s="28">
        <v>240</v>
      </c>
      <c r="BZ57" s="28">
        <v>239</v>
      </c>
      <c r="CA57" s="28">
        <v>236</v>
      </c>
      <c r="CB57" s="28">
        <v>237</v>
      </c>
      <c r="CC57" s="28">
        <v>237</v>
      </c>
    </row>
    <row r="58" spans="1:81" x14ac:dyDescent="0.25">
      <c r="A58" s="21" t="s">
        <v>273</v>
      </c>
      <c r="B58" s="22">
        <v>2</v>
      </c>
      <c r="C58" s="21" t="s">
        <v>274</v>
      </c>
      <c r="D58" s="23">
        <v>14263</v>
      </c>
      <c r="E58" s="24">
        <v>60.000429500000003</v>
      </c>
      <c r="F58" s="25">
        <v>0</v>
      </c>
      <c r="G58" s="21" t="s">
        <v>252</v>
      </c>
      <c r="H58" s="26">
        <v>237.71496502370869</v>
      </c>
      <c r="I58" s="24">
        <v>241.5458937198068</v>
      </c>
      <c r="J58" s="24">
        <v>188.46602975200139</v>
      </c>
      <c r="K58" s="24">
        <v>169.6338223243126</v>
      </c>
      <c r="L58" s="24">
        <v>169.47510734669601</v>
      </c>
      <c r="M58" s="24">
        <v>94.202614122541888</v>
      </c>
      <c r="N58" s="24">
        <v>39.223223286043201</v>
      </c>
      <c r="O58" s="24">
        <v>330.06568307093107</v>
      </c>
      <c r="P58" s="27">
        <v>4.206718747809016</v>
      </c>
      <c r="Q58" s="27">
        <v>0.44651564934878463</v>
      </c>
      <c r="R58" s="24">
        <v>10.61434519674849</v>
      </c>
      <c r="S58" s="24">
        <v>7.0116393212733136E-3</v>
      </c>
      <c r="T58" s="24">
        <v>1.402229544976513E-2</v>
      </c>
      <c r="U58" s="22"/>
      <c r="V58" s="28">
        <v>239</v>
      </c>
      <c r="W58" s="28">
        <v>238</v>
      </c>
      <c r="X58" s="28">
        <v>238</v>
      </c>
      <c r="Y58" s="28">
        <v>232</v>
      </c>
      <c r="Z58" s="28">
        <v>238</v>
      </c>
      <c r="AA58" s="28">
        <v>237</v>
      </c>
      <c r="AB58" s="28">
        <v>238</v>
      </c>
      <c r="AC58" s="28">
        <v>237</v>
      </c>
      <c r="AD58" s="28">
        <v>237</v>
      </c>
      <c r="AE58" s="28">
        <v>238</v>
      </c>
      <c r="AF58" s="28">
        <v>237</v>
      </c>
      <c r="AG58" s="28">
        <v>231</v>
      </c>
      <c r="AH58" s="28">
        <v>238</v>
      </c>
      <c r="AI58" s="28">
        <v>232</v>
      </c>
      <c r="AJ58" s="28">
        <v>239</v>
      </c>
      <c r="AK58" s="28">
        <v>240</v>
      </c>
      <c r="AL58" s="28">
        <v>239</v>
      </c>
      <c r="AM58" s="28">
        <v>240</v>
      </c>
      <c r="AN58" s="28">
        <v>236</v>
      </c>
      <c r="AO58" s="28">
        <v>237</v>
      </c>
      <c r="AP58" s="28">
        <v>238</v>
      </c>
      <c r="AQ58" s="28">
        <v>240</v>
      </c>
      <c r="AR58" s="28">
        <v>240</v>
      </c>
      <c r="AS58" s="28">
        <v>234</v>
      </c>
      <c r="AT58" s="28">
        <v>239</v>
      </c>
      <c r="AU58" s="28">
        <v>239</v>
      </c>
      <c r="AV58" s="28">
        <v>240</v>
      </c>
      <c r="AW58" s="28">
        <v>238</v>
      </c>
      <c r="AX58" s="28">
        <v>239</v>
      </c>
      <c r="AY58" s="28">
        <v>239</v>
      </c>
      <c r="AZ58" s="28">
        <v>238</v>
      </c>
      <c r="BA58" s="28">
        <v>238</v>
      </c>
      <c r="BB58" s="28">
        <v>240</v>
      </c>
      <c r="BC58" s="28">
        <v>230</v>
      </c>
      <c r="BD58" s="28">
        <v>234</v>
      </c>
      <c r="BE58" s="28">
        <v>239</v>
      </c>
      <c r="BF58" s="28">
        <v>238</v>
      </c>
      <c r="BG58" s="28">
        <v>240</v>
      </c>
      <c r="BH58" s="28">
        <v>241</v>
      </c>
      <c r="BI58" s="28">
        <v>240</v>
      </c>
      <c r="BJ58" s="28">
        <v>239</v>
      </c>
      <c r="BK58" s="28">
        <v>240</v>
      </c>
      <c r="BL58" s="28">
        <v>238</v>
      </c>
      <c r="BM58" s="28">
        <v>235</v>
      </c>
      <c r="BN58" s="28">
        <v>235</v>
      </c>
      <c r="BO58" s="28">
        <v>238</v>
      </c>
      <c r="BP58" s="28">
        <v>236</v>
      </c>
      <c r="BQ58" s="28">
        <v>236</v>
      </c>
      <c r="BR58" s="28">
        <v>238</v>
      </c>
      <c r="BS58" s="28">
        <v>237</v>
      </c>
      <c r="BT58" s="28">
        <v>242</v>
      </c>
      <c r="BU58" s="28">
        <v>240</v>
      </c>
      <c r="BV58" s="28">
        <v>240</v>
      </c>
      <c r="BW58" s="28">
        <v>234</v>
      </c>
      <c r="BX58" s="28">
        <v>239</v>
      </c>
      <c r="BY58" s="28">
        <v>239</v>
      </c>
      <c r="BZ58" s="28">
        <v>239</v>
      </c>
      <c r="CA58" s="28">
        <v>239</v>
      </c>
      <c r="CB58" s="28">
        <v>238</v>
      </c>
      <c r="CC58" s="28">
        <v>236</v>
      </c>
    </row>
    <row r="59" spans="1:81" x14ac:dyDescent="0.25">
      <c r="A59" s="21" t="s">
        <v>273</v>
      </c>
      <c r="B59" s="22">
        <v>3</v>
      </c>
      <c r="C59" s="21" t="s">
        <v>274</v>
      </c>
      <c r="D59" s="23">
        <v>14151</v>
      </c>
      <c r="E59" s="24">
        <v>59.989342399999998</v>
      </c>
      <c r="F59" s="25">
        <v>0</v>
      </c>
      <c r="G59" s="21" t="s">
        <v>252</v>
      </c>
      <c r="H59" s="26">
        <v>235.89190069201359</v>
      </c>
      <c r="I59" s="24">
        <v>240.2344688415894</v>
      </c>
      <c r="J59" s="24">
        <v>181.77686889343329</v>
      </c>
      <c r="K59" s="24">
        <v>156.67903125354729</v>
      </c>
      <c r="L59" s="24">
        <v>159.53548584371839</v>
      </c>
      <c r="M59" s="24">
        <v>91.31197039057173</v>
      </c>
      <c r="N59" s="24">
        <v>41.041973626427747</v>
      </c>
      <c r="O59" s="24">
        <v>346.12855214426639</v>
      </c>
      <c r="P59" s="27">
        <v>4.2392299060137093</v>
      </c>
      <c r="Q59" s="27">
        <v>0.47316907220584442</v>
      </c>
      <c r="R59" s="24">
        <v>11.161675179131329</v>
      </c>
      <c r="S59" s="24">
        <v>2.1201413427561839E-2</v>
      </c>
      <c r="T59" s="24">
        <v>2.11999152003392E-2</v>
      </c>
      <c r="U59" s="22"/>
      <c r="V59" s="28">
        <v>239</v>
      </c>
      <c r="W59" s="28">
        <v>235</v>
      </c>
      <c r="X59" s="28">
        <v>238</v>
      </c>
      <c r="Y59" s="28">
        <v>237</v>
      </c>
      <c r="Z59" s="28">
        <v>240</v>
      </c>
      <c r="AA59" s="28">
        <v>241</v>
      </c>
      <c r="AB59" s="28">
        <v>241</v>
      </c>
      <c r="AC59" s="28">
        <v>238</v>
      </c>
      <c r="AD59" s="28">
        <v>236</v>
      </c>
      <c r="AE59" s="28">
        <v>238</v>
      </c>
      <c r="AF59" s="28">
        <v>238</v>
      </c>
      <c r="AG59" s="28">
        <v>235</v>
      </c>
      <c r="AH59" s="28">
        <v>238</v>
      </c>
      <c r="AI59" s="28">
        <v>238</v>
      </c>
      <c r="AJ59" s="28">
        <v>241</v>
      </c>
      <c r="AK59" s="28">
        <v>238</v>
      </c>
      <c r="AL59" s="28">
        <v>232</v>
      </c>
      <c r="AM59" s="28">
        <v>218</v>
      </c>
      <c r="AN59" s="28">
        <v>232</v>
      </c>
      <c r="AO59" s="28">
        <v>232</v>
      </c>
      <c r="AP59" s="28">
        <v>198</v>
      </c>
      <c r="AQ59" s="28">
        <v>226</v>
      </c>
      <c r="AR59" s="28">
        <v>234</v>
      </c>
      <c r="AS59" s="28">
        <v>235</v>
      </c>
      <c r="AT59" s="28">
        <v>238</v>
      </c>
      <c r="AU59" s="28">
        <v>239</v>
      </c>
      <c r="AV59" s="28">
        <v>239</v>
      </c>
      <c r="AW59" s="28">
        <v>237</v>
      </c>
      <c r="AX59" s="28">
        <v>232</v>
      </c>
      <c r="AY59" s="28">
        <v>236</v>
      </c>
      <c r="AZ59" s="28">
        <v>237</v>
      </c>
      <c r="BA59" s="28">
        <v>237</v>
      </c>
      <c r="BB59" s="28">
        <v>241</v>
      </c>
      <c r="BC59" s="28">
        <v>238</v>
      </c>
      <c r="BD59" s="28">
        <v>239</v>
      </c>
      <c r="BE59" s="28">
        <v>235</v>
      </c>
      <c r="BF59" s="28">
        <v>239</v>
      </c>
      <c r="BG59" s="28">
        <v>236</v>
      </c>
      <c r="BH59" s="28">
        <v>235</v>
      </c>
      <c r="BI59" s="28">
        <v>239</v>
      </c>
      <c r="BJ59" s="28">
        <v>240</v>
      </c>
      <c r="BK59" s="28">
        <v>237</v>
      </c>
      <c r="BL59" s="28">
        <v>238</v>
      </c>
      <c r="BM59" s="28">
        <v>236</v>
      </c>
      <c r="BN59" s="28">
        <v>237</v>
      </c>
      <c r="BO59" s="28">
        <v>237</v>
      </c>
      <c r="BP59" s="28">
        <v>236</v>
      </c>
      <c r="BQ59" s="28">
        <v>237</v>
      </c>
      <c r="BR59" s="28">
        <v>238</v>
      </c>
      <c r="BS59" s="28">
        <v>237</v>
      </c>
      <c r="BT59" s="28">
        <v>237</v>
      </c>
      <c r="BU59" s="28">
        <v>237</v>
      </c>
      <c r="BV59" s="28">
        <v>234</v>
      </c>
      <c r="BW59" s="28">
        <v>237</v>
      </c>
      <c r="BX59" s="28">
        <v>239</v>
      </c>
      <c r="BY59" s="28">
        <v>238</v>
      </c>
      <c r="BZ59" s="28">
        <v>238</v>
      </c>
      <c r="CA59" s="28">
        <v>236</v>
      </c>
      <c r="CB59" s="28">
        <v>236</v>
      </c>
      <c r="CC59" s="28">
        <v>231</v>
      </c>
    </row>
    <row r="60" spans="1:81" x14ac:dyDescent="0.25">
      <c r="A60" s="21" t="s">
        <v>273</v>
      </c>
      <c r="B60" s="22">
        <v>4</v>
      </c>
      <c r="C60" s="21" t="s">
        <v>274</v>
      </c>
      <c r="D60" s="23">
        <v>14180</v>
      </c>
      <c r="E60" s="24">
        <v>59.989219400000003</v>
      </c>
      <c r="F60" s="25">
        <v>0</v>
      </c>
      <c r="G60" s="21" t="s">
        <v>252</v>
      </c>
      <c r="H60" s="26">
        <v>236.3758045499755</v>
      </c>
      <c r="I60" s="24">
        <v>240.93772964377359</v>
      </c>
      <c r="J60" s="24">
        <v>183.30659806600551</v>
      </c>
      <c r="K60" s="24">
        <v>164.85627821422389</v>
      </c>
      <c r="L60" s="24">
        <v>162.04657549286961</v>
      </c>
      <c r="M60" s="24">
        <v>80.009857214408811</v>
      </c>
      <c r="N60" s="24">
        <v>42.871167853483492</v>
      </c>
      <c r="O60" s="24">
        <v>381.8251240931653</v>
      </c>
      <c r="P60" s="27">
        <v>4.2305514386459802</v>
      </c>
      <c r="Q60" s="27">
        <v>0.47034962607890668</v>
      </c>
      <c r="R60" s="24">
        <v>11.11792712841817</v>
      </c>
      <c r="S60" s="24">
        <v>2.115805063826786E-2</v>
      </c>
      <c r="T60" s="24">
        <v>2.115655853314527E-2</v>
      </c>
      <c r="U60" s="22"/>
      <c r="V60" s="28">
        <v>241</v>
      </c>
      <c r="W60" s="28">
        <v>238</v>
      </c>
      <c r="X60" s="28">
        <v>238</v>
      </c>
      <c r="Y60" s="28">
        <v>241</v>
      </c>
      <c r="Z60" s="28">
        <v>235</v>
      </c>
      <c r="AA60" s="28">
        <v>239</v>
      </c>
      <c r="AB60" s="28">
        <v>240</v>
      </c>
      <c r="AC60" s="28">
        <v>238</v>
      </c>
      <c r="AD60" s="28">
        <v>242</v>
      </c>
      <c r="AE60" s="28">
        <v>239</v>
      </c>
      <c r="AF60" s="28">
        <v>239</v>
      </c>
      <c r="AG60" s="28">
        <v>241</v>
      </c>
      <c r="AH60" s="28">
        <v>240</v>
      </c>
      <c r="AI60" s="28">
        <v>226</v>
      </c>
      <c r="AJ60" s="28">
        <v>224</v>
      </c>
      <c r="AK60" s="28">
        <v>237</v>
      </c>
      <c r="AL60" s="28">
        <v>240</v>
      </c>
      <c r="AM60" s="28">
        <v>236</v>
      </c>
      <c r="AN60" s="28">
        <v>239</v>
      </c>
      <c r="AO60" s="28">
        <v>237</v>
      </c>
      <c r="AP60" s="28">
        <v>240</v>
      </c>
      <c r="AQ60" s="28">
        <v>240</v>
      </c>
      <c r="AR60" s="28">
        <v>219</v>
      </c>
      <c r="AS60" s="28">
        <v>235</v>
      </c>
      <c r="AT60" s="28">
        <v>233</v>
      </c>
      <c r="AU60" s="28">
        <v>218</v>
      </c>
      <c r="AV60" s="28">
        <v>211</v>
      </c>
      <c r="AW60" s="28">
        <v>226</v>
      </c>
      <c r="AX60" s="28">
        <v>240</v>
      </c>
      <c r="AY60" s="28">
        <v>237</v>
      </c>
      <c r="AZ60" s="28">
        <v>237</v>
      </c>
      <c r="BA60" s="28">
        <v>238</v>
      </c>
      <c r="BB60" s="28">
        <v>237</v>
      </c>
      <c r="BC60" s="28">
        <v>235</v>
      </c>
      <c r="BD60" s="28">
        <v>234</v>
      </c>
      <c r="BE60" s="28">
        <v>238</v>
      </c>
      <c r="BF60" s="28">
        <v>237</v>
      </c>
      <c r="BG60" s="28">
        <v>239</v>
      </c>
      <c r="BH60" s="28">
        <v>241</v>
      </c>
      <c r="BI60" s="28">
        <v>238</v>
      </c>
      <c r="BJ60" s="28">
        <v>239</v>
      </c>
      <c r="BK60" s="28">
        <v>239</v>
      </c>
      <c r="BL60" s="28">
        <v>237</v>
      </c>
      <c r="BM60" s="28">
        <v>239</v>
      </c>
      <c r="BN60" s="28">
        <v>236</v>
      </c>
      <c r="BO60" s="28">
        <v>232</v>
      </c>
      <c r="BP60" s="28">
        <v>239</v>
      </c>
      <c r="BQ60" s="28">
        <v>238</v>
      </c>
      <c r="BR60" s="28">
        <v>237</v>
      </c>
      <c r="BS60" s="28">
        <v>240</v>
      </c>
      <c r="BT60" s="28">
        <v>238</v>
      </c>
      <c r="BU60" s="28">
        <v>241</v>
      </c>
      <c r="BV60" s="28">
        <v>238</v>
      </c>
      <c r="BW60" s="28">
        <v>239</v>
      </c>
      <c r="BX60" s="28">
        <v>234</v>
      </c>
      <c r="BY60" s="28">
        <v>238</v>
      </c>
      <c r="BZ60" s="28">
        <v>241</v>
      </c>
      <c r="CA60" s="28">
        <v>239</v>
      </c>
      <c r="CB60" s="28">
        <v>239</v>
      </c>
      <c r="CC60" s="28">
        <v>234</v>
      </c>
    </row>
    <row r="61" spans="1:81" x14ac:dyDescent="0.25">
      <c r="A61" s="21" t="s">
        <v>273</v>
      </c>
      <c r="B61" s="22">
        <v>5</v>
      </c>
      <c r="C61" s="21" t="s">
        <v>274</v>
      </c>
      <c r="D61" s="23">
        <v>13662</v>
      </c>
      <c r="E61" s="24">
        <v>60.0033922</v>
      </c>
      <c r="F61" s="25">
        <v>0</v>
      </c>
      <c r="G61" s="21" t="s">
        <v>252</v>
      </c>
      <c r="H61" s="26">
        <v>227.6871273287779</v>
      </c>
      <c r="I61" s="24">
        <v>230.2608855833659</v>
      </c>
      <c r="J61" s="24">
        <v>176.10225483088109</v>
      </c>
      <c r="K61" s="24">
        <v>156.1435174403328</v>
      </c>
      <c r="L61" s="24">
        <v>155.90486353514609</v>
      </c>
      <c r="M61" s="24">
        <v>80.333028603378168</v>
      </c>
      <c r="N61" s="24">
        <v>38.154686730944597</v>
      </c>
      <c r="O61" s="24">
        <v>464.68401486988847</v>
      </c>
      <c r="P61" s="27">
        <v>4.391991816717904</v>
      </c>
      <c r="Q61" s="27">
        <v>0.52387197504876926</v>
      </c>
      <c r="R61" s="24">
        <v>11.92789050869075</v>
      </c>
      <c r="S61" s="24">
        <v>2.196032501281019E-2</v>
      </c>
      <c r="T61" s="24">
        <v>3.6597862684819203E-2</v>
      </c>
      <c r="U61" s="22"/>
      <c r="V61" s="28">
        <v>209</v>
      </c>
      <c r="W61" s="28">
        <v>227</v>
      </c>
      <c r="X61" s="28">
        <v>227</v>
      </c>
      <c r="Y61" s="28">
        <v>228</v>
      </c>
      <c r="Z61" s="28">
        <v>224</v>
      </c>
      <c r="AA61" s="28">
        <v>219</v>
      </c>
      <c r="AB61" s="28">
        <v>229</v>
      </c>
      <c r="AC61" s="28">
        <v>229</v>
      </c>
      <c r="AD61" s="28">
        <v>228</v>
      </c>
      <c r="AE61" s="28">
        <v>227</v>
      </c>
      <c r="AF61" s="28">
        <v>227</v>
      </c>
      <c r="AG61" s="28">
        <v>229</v>
      </c>
      <c r="AH61" s="28">
        <v>227</v>
      </c>
      <c r="AI61" s="28">
        <v>228</v>
      </c>
      <c r="AJ61" s="28">
        <v>226</v>
      </c>
      <c r="AK61" s="28">
        <v>228</v>
      </c>
      <c r="AL61" s="28">
        <v>227</v>
      </c>
      <c r="AM61" s="28">
        <v>230</v>
      </c>
      <c r="AN61" s="28">
        <v>226</v>
      </c>
      <c r="AO61" s="28">
        <v>226</v>
      </c>
      <c r="AP61" s="28">
        <v>225</v>
      </c>
      <c r="AQ61" s="28">
        <v>230</v>
      </c>
      <c r="AR61" s="28">
        <v>230</v>
      </c>
      <c r="AS61" s="28">
        <v>231</v>
      </c>
      <c r="AT61" s="28">
        <v>229</v>
      </c>
      <c r="AU61" s="28">
        <v>231</v>
      </c>
      <c r="AV61" s="28">
        <v>230</v>
      </c>
      <c r="AW61" s="28">
        <v>232</v>
      </c>
      <c r="AX61" s="28">
        <v>227</v>
      </c>
      <c r="AY61" s="28">
        <v>229</v>
      </c>
      <c r="AZ61" s="28">
        <v>227</v>
      </c>
      <c r="BA61" s="28">
        <v>229</v>
      </c>
      <c r="BB61" s="28">
        <v>223</v>
      </c>
      <c r="BC61" s="28">
        <v>230</v>
      </c>
      <c r="BD61" s="28">
        <v>226</v>
      </c>
      <c r="BE61" s="28">
        <v>231</v>
      </c>
      <c r="BF61" s="28">
        <v>228</v>
      </c>
      <c r="BG61" s="28">
        <v>228</v>
      </c>
      <c r="BH61" s="28">
        <v>229</v>
      </c>
      <c r="BI61" s="28">
        <v>229</v>
      </c>
      <c r="BJ61" s="28">
        <v>229</v>
      </c>
      <c r="BK61" s="28">
        <v>231</v>
      </c>
      <c r="BL61" s="28">
        <v>227</v>
      </c>
      <c r="BM61" s="28">
        <v>229</v>
      </c>
      <c r="BN61" s="28">
        <v>227</v>
      </c>
      <c r="BO61" s="28">
        <v>229</v>
      </c>
      <c r="BP61" s="28">
        <v>231</v>
      </c>
      <c r="BQ61" s="28">
        <v>228</v>
      </c>
      <c r="BR61" s="28">
        <v>229</v>
      </c>
      <c r="BS61" s="28">
        <v>227</v>
      </c>
      <c r="BT61" s="28">
        <v>225</v>
      </c>
      <c r="BU61" s="28">
        <v>229</v>
      </c>
      <c r="BV61" s="28">
        <v>227</v>
      </c>
      <c r="BW61" s="28">
        <v>229</v>
      </c>
      <c r="BX61" s="28">
        <v>228</v>
      </c>
      <c r="BY61" s="28">
        <v>227</v>
      </c>
      <c r="BZ61" s="28">
        <v>229</v>
      </c>
      <c r="CA61" s="28">
        <v>230</v>
      </c>
      <c r="CB61" s="28">
        <v>228</v>
      </c>
      <c r="CC61" s="28">
        <v>228</v>
      </c>
    </row>
    <row r="62" spans="1:81" x14ac:dyDescent="0.25">
      <c r="A62" s="13" t="s">
        <v>275</v>
      </c>
      <c r="B62" s="14">
        <v>1</v>
      </c>
      <c r="C62" s="13" t="s">
        <v>276</v>
      </c>
      <c r="D62" s="15">
        <v>13520</v>
      </c>
      <c r="E62" s="16">
        <v>59.980146700000013</v>
      </c>
      <c r="F62" s="17">
        <v>5</v>
      </c>
      <c r="G62" s="13" t="s">
        <v>252</v>
      </c>
      <c r="H62" s="18">
        <v>225.40791818370121</v>
      </c>
      <c r="I62" s="16">
        <v>229.45779123930151</v>
      </c>
      <c r="J62" s="16">
        <v>166.05632663810849</v>
      </c>
      <c r="K62" s="16">
        <v>134.28557923278211</v>
      </c>
      <c r="L62" s="16">
        <v>131.00960980363149</v>
      </c>
      <c r="M62" s="16">
        <v>32.710845935186732</v>
      </c>
      <c r="N62" s="16">
        <v>28.929241967072731</v>
      </c>
      <c r="O62" s="16">
        <v>470.74330367650521</v>
      </c>
      <c r="P62" s="19">
        <v>4.4364013831360953</v>
      </c>
      <c r="Q62" s="19">
        <v>0.6279943947418769</v>
      </c>
      <c r="R62" s="16">
        <v>14.15549091498</v>
      </c>
      <c r="S62" s="16">
        <v>6.6572971373622308E-2</v>
      </c>
      <c r="T62" s="16">
        <v>7.3964497041420121E-2</v>
      </c>
      <c r="U62" s="14"/>
      <c r="V62" s="20">
        <v>236</v>
      </c>
      <c r="W62" s="20">
        <v>238</v>
      </c>
      <c r="X62" s="20">
        <v>238</v>
      </c>
      <c r="Y62" s="20">
        <v>236</v>
      </c>
      <c r="Z62" s="20">
        <v>229</v>
      </c>
      <c r="AA62" s="20">
        <v>232</v>
      </c>
      <c r="AB62" s="20">
        <v>238</v>
      </c>
      <c r="AC62" s="20">
        <v>236</v>
      </c>
      <c r="AD62" s="20">
        <v>237</v>
      </c>
      <c r="AE62" s="20">
        <v>229</v>
      </c>
      <c r="AF62" s="20">
        <v>240</v>
      </c>
      <c r="AG62" s="20">
        <v>235</v>
      </c>
      <c r="AH62" s="20">
        <v>231</v>
      </c>
      <c r="AI62" s="20">
        <v>216</v>
      </c>
      <c r="AJ62" s="20">
        <v>214</v>
      </c>
      <c r="AK62" s="20">
        <v>215</v>
      </c>
      <c r="AL62" s="20">
        <v>216</v>
      </c>
      <c r="AM62" s="20">
        <v>216</v>
      </c>
      <c r="AN62" s="20">
        <v>218</v>
      </c>
      <c r="AO62" s="20">
        <v>211</v>
      </c>
      <c r="AP62" s="20">
        <v>216</v>
      </c>
      <c r="AQ62" s="20">
        <v>215</v>
      </c>
      <c r="AR62" s="20">
        <v>209</v>
      </c>
      <c r="AS62" s="20">
        <v>213</v>
      </c>
      <c r="AT62" s="20">
        <v>206</v>
      </c>
      <c r="AU62" s="20">
        <v>215</v>
      </c>
      <c r="AV62" s="20">
        <v>216</v>
      </c>
      <c r="AW62" s="20">
        <v>217</v>
      </c>
      <c r="AX62" s="20">
        <v>220</v>
      </c>
      <c r="AY62" s="20">
        <v>214</v>
      </c>
      <c r="AZ62" s="20">
        <v>221</v>
      </c>
      <c r="BA62" s="20">
        <v>208</v>
      </c>
      <c r="BB62" s="20">
        <v>228</v>
      </c>
      <c r="BC62" s="20">
        <v>226</v>
      </c>
      <c r="BD62" s="20">
        <v>227</v>
      </c>
      <c r="BE62" s="20">
        <v>229</v>
      </c>
      <c r="BF62" s="20">
        <v>228</v>
      </c>
      <c r="BG62" s="20">
        <v>225</v>
      </c>
      <c r="BH62" s="20">
        <v>225</v>
      </c>
      <c r="BI62" s="20">
        <v>224</v>
      </c>
      <c r="BJ62" s="20">
        <v>227</v>
      </c>
      <c r="BK62" s="20">
        <v>228</v>
      </c>
      <c r="BL62" s="20">
        <v>227</v>
      </c>
      <c r="BM62" s="20">
        <v>227</v>
      </c>
      <c r="BN62" s="20">
        <v>228</v>
      </c>
      <c r="BO62" s="20">
        <v>225</v>
      </c>
      <c r="BP62" s="20">
        <v>226</v>
      </c>
      <c r="BQ62" s="20">
        <v>229</v>
      </c>
      <c r="BR62" s="20">
        <v>229</v>
      </c>
      <c r="BS62" s="20">
        <v>225</v>
      </c>
      <c r="BT62" s="20">
        <v>230</v>
      </c>
      <c r="BU62" s="20">
        <v>227</v>
      </c>
      <c r="BV62" s="20">
        <v>224</v>
      </c>
      <c r="BW62" s="20">
        <v>223</v>
      </c>
      <c r="BX62" s="20">
        <v>234</v>
      </c>
      <c r="BY62" s="20">
        <v>237</v>
      </c>
      <c r="BZ62" s="20">
        <v>237</v>
      </c>
      <c r="CA62" s="20">
        <v>226</v>
      </c>
      <c r="CB62" s="20">
        <v>237</v>
      </c>
      <c r="CC62" s="20">
        <v>231</v>
      </c>
    </row>
    <row r="63" spans="1:81" x14ac:dyDescent="0.25">
      <c r="A63" s="13" t="s">
        <v>275</v>
      </c>
      <c r="B63" s="14">
        <v>2</v>
      </c>
      <c r="C63" s="13" t="s">
        <v>276</v>
      </c>
      <c r="D63" s="15">
        <v>14159</v>
      </c>
      <c r="E63" s="16">
        <v>59.983343599999998</v>
      </c>
      <c r="F63" s="17">
        <v>0</v>
      </c>
      <c r="G63" s="13" t="s">
        <v>252</v>
      </c>
      <c r="H63" s="18">
        <v>236.0488620711034</v>
      </c>
      <c r="I63" s="16">
        <v>240.56388173879569</v>
      </c>
      <c r="J63" s="16">
        <v>181.42985595195159</v>
      </c>
      <c r="K63" s="16">
        <v>159.2036353959071</v>
      </c>
      <c r="L63" s="16">
        <v>160.40176508086651</v>
      </c>
      <c r="M63" s="16">
        <v>83.342639928125294</v>
      </c>
      <c r="N63" s="16">
        <v>43.640299197891302</v>
      </c>
      <c r="O63" s="16">
        <v>315.58683371729728</v>
      </c>
      <c r="P63" s="19">
        <v>4.2364110177272396</v>
      </c>
      <c r="Q63" s="19">
        <v>0.45746750373731321</v>
      </c>
      <c r="R63" s="16">
        <v>10.7984683691701</v>
      </c>
      <c r="S63" s="16">
        <v>4.2378867071620287E-2</v>
      </c>
      <c r="T63" s="16">
        <v>2.8250582668267531E-2</v>
      </c>
      <c r="U63" s="14"/>
      <c r="V63" s="20">
        <v>237</v>
      </c>
      <c r="W63" s="20">
        <v>234</v>
      </c>
      <c r="X63" s="20">
        <v>227</v>
      </c>
      <c r="Y63" s="20">
        <v>230</v>
      </c>
      <c r="Z63" s="20">
        <v>223</v>
      </c>
      <c r="AA63" s="20">
        <v>230</v>
      </c>
      <c r="AB63" s="20">
        <v>230</v>
      </c>
      <c r="AC63" s="20">
        <v>226</v>
      </c>
      <c r="AD63" s="20">
        <v>234</v>
      </c>
      <c r="AE63" s="20">
        <v>233</v>
      </c>
      <c r="AF63" s="20">
        <v>237</v>
      </c>
      <c r="AG63" s="20">
        <v>237</v>
      </c>
      <c r="AH63" s="20">
        <v>236</v>
      </c>
      <c r="AI63" s="20">
        <v>240</v>
      </c>
      <c r="AJ63" s="20">
        <v>233</v>
      </c>
      <c r="AK63" s="20">
        <v>238</v>
      </c>
      <c r="AL63" s="20">
        <v>237</v>
      </c>
      <c r="AM63" s="20">
        <v>238</v>
      </c>
      <c r="AN63" s="20">
        <v>236</v>
      </c>
      <c r="AO63" s="20">
        <v>237</v>
      </c>
      <c r="AP63" s="20">
        <v>235</v>
      </c>
      <c r="AQ63" s="20">
        <v>243</v>
      </c>
      <c r="AR63" s="20">
        <v>237</v>
      </c>
      <c r="AS63" s="20">
        <v>238</v>
      </c>
      <c r="AT63" s="20">
        <v>234</v>
      </c>
      <c r="AU63" s="20">
        <v>236</v>
      </c>
      <c r="AV63" s="20">
        <v>239</v>
      </c>
      <c r="AW63" s="20">
        <v>241</v>
      </c>
      <c r="AX63" s="20">
        <v>239</v>
      </c>
      <c r="AY63" s="20">
        <v>239</v>
      </c>
      <c r="AZ63" s="20">
        <v>240</v>
      </c>
      <c r="BA63" s="20">
        <v>237</v>
      </c>
      <c r="BB63" s="20">
        <v>238</v>
      </c>
      <c r="BC63" s="20">
        <v>239</v>
      </c>
      <c r="BD63" s="20">
        <v>235</v>
      </c>
      <c r="BE63" s="20">
        <v>238</v>
      </c>
      <c r="BF63" s="20">
        <v>239</v>
      </c>
      <c r="BG63" s="20">
        <v>239</v>
      </c>
      <c r="BH63" s="20">
        <v>239</v>
      </c>
      <c r="BI63" s="20">
        <v>241</v>
      </c>
      <c r="BJ63" s="20">
        <v>238</v>
      </c>
      <c r="BK63" s="20">
        <v>237</v>
      </c>
      <c r="BL63" s="20">
        <v>239</v>
      </c>
      <c r="BM63" s="20">
        <v>228</v>
      </c>
      <c r="BN63" s="20">
        <v>233</v>
      </c>
      <c r="BO63" s="20">
        <v>236</v>
      </c>
      <c r="BP63" s="20">
        <v>237</v>
      </c>
      <c r="BQ63" s="20">
        <v>242</v>
      </c>
      <c r="BR63" s="20">
        <v>239</v>
      </c>
      <c r="BS63" s="20">
        <v>238</v>
      </c>
      <c r="BT63" s="20">
        <v>232</v>
      </c>
      <c r="BU63" s="20">
        <v>236</v>
      </c>
      <c r="BV63" s="20">
        <v>240</v>
      </c>
      <c r="BW63" s="20">
        <v>238</v>
      </c>
      <c r="BX63" s="20">
        <v>238</v>
      </c>
      <c r="BY63" s="20">
        <v>240</v>
      </c>
      <c r="BZ63" s="20">
        <v>240</v>
      </c>
      <c r="CA63" s="20">
        <v>239</v>
      </c>
      <c r="CB63" s="20">
        <v>227</v>
      </c>
      <c r="CC63" s="20">
        <v>223</v>
      </c>
    </row>
    <row r="64" spans="1:81" x14ac:dyDescent="0.25">
      <c r="A64" s="13" t="s">
        <v>275</v>
      </c>
      <c r="B64" s="14">
        <v>3</v>
      </c>
      <c r="C64" s="13" t="s">
        <v>276</v>
      </c>
      <c r="D64" s="15">
        <v>14159</v>
      </c>
      <c r="E64" s="16">
        <v>59.9831273</v>
      </c>
      <c r="F64" s="17">
        <v>0</v>
      </c>
      <c r="G64" s="13" t="s">
        <v>252</v>
      </c>
      <c r="H64" s="18">
        <v>236.0497132666172</v>
      </c>
      <c r="I64" s="16">
        <v>240.85358510561429</v>
      </c>
      <c r="J64" s="16">
        <v>182.64666710014811</v>
      </c>
      <c r="K64" s="16">
        <v>156.69583392472731</v>
      </c>
      <c r="L64" s="16">
        <v>158.91140391272981</v>
      </c>
      <c r="M64" s="16">
        <v>78.742141534274879</v>
      </c>
      <c r="N64" s="16">
        <v>38.777876445930069</v>
      </c>
      <c r="O64" s="16">
        <v>313.40102795537172</v>
      </c>
      <c r="P64" s="19">
        <v>4.2363957412246629</v>
      </c>
      <c r="Q64" s="19">
        <v>0.47263885246599802</v>
      </c>
      <c r="R64" s="16">
        <v>11.156626560326179</v>
      </c>
      <c r="S64" s="16">
        <v>2.118943353581014E-2</v>
      </c>
      <c r="T64" s="16">
        <v>2.1187937001200651E-2</v>
      </c>
      <c r="U64" s="14"/>
      <c r="V64" s="20">
        <v>236</v>
      </c>
      <c r="W64" s="20">
        <v>237</v>
      </c>
      <c r="X64" s="20">
        <v>240</v>
      </c>
      <c r="Y64" s="20">
        <v>236</v>
      </c>
      <c r="Z64" s="20">
        <v>237</v>
      </c>
      <c r="AA64" s="20">
        <v>239</v>
      </c>
      <c r="AB64" s="20">
        <v>237</v>
      </c>
      <c r="AC64" s="20">
        <v>237</v>
      </c>
      <c r="AD64" s="20">
        <v>235</v>
      </c>
      <c r="AE64" s="20">
        <v>235</v>
      </c>
      <c r="AF64" s="20">
        <v>238</v>
      </c>
      <c r="AG64" s="20">
        <v>236</v>
      </c>
      <c r="AH64" s="20">
        <v>238</v>
      </c>
      <c r="AI64" s="20">
        <v>235</v>
      </c>
      <c r="AJ64" s="20">
        <v>239</v>
      </c>
      <c r="AK64" s="20">
        <v>238</v>
      </c>
      <c r="AL64" s="20">
        <v>236</v>
      </c>
      <c r="AM64" s="20">
        <v>237</v>
      </c>
      <c r="AN64" s="20">
        <v>233</v>
      </c>
      <c r="AO64" s="20">
        <v>234</v>
      </c>
      <c r="AP64" s="20">
        <v>233</v>
      </c>
      <c r="AQ64" s="20">
        <v>239</v>
      </c>
      <c r="AR64" s="20">
        <v>236</v>
      </c>
      <c r="AS64" s="20">
        <v>238</v>
      </c>
      <c r="AT64" s="20">
        <v>238</v>
      </c>
      <c r="AU64" s="20">
        <v>236</v>
      </c>
      <c r="AV64" s="20">
        <v>236</v>
      </c>
      <c r="AW64" s="20">
        <v>238</v>
      </c>
      <c r="AX64" s="20">
        <v>236</v>
      </c>
      <c r="AY64" s="20">
        <v>232</v>
      </c>
      <c r="AZ64" s="20">
        <v>227</v>
      </c>
      <c r="BA64" s="20">
        <v>241</v>
      </c>
      <c r="BB64" s="20">
        <v>239</v>
      </c>
      <c r="BC64" s="20">
        <v>240</v>
      </c>
      <c r="BD64" s="20">
        <v>241</v>
      </c>
      <c r="BE64" s="20">
        <v>240</v>
      </c>
      <c r="BF64" s="20">
        <v>242</v>
      </c>
      <c r="BG64" s="20">
        <v>239</v>
      </c>
      <c r="BH64" s="20">
        <v>236</v>
      </c>
      <c r="BI64" s="20">
        <v>237</v>
      </c>
      <c r="BJ64" s="20">
        <v>235</v>
      </c>
      <c r="BK64" s="20">
        <v>237</v>
      </c>
      <c r="BL64" s="20">
        <v>239</v>
      </c>
      <c r="BM64" s="20">
        <v>238</v>
      </c>
      <c r="BN64" s="20">
        <v>240</v>
      </c>
      <c r="BO64" s="20">
        <v>236</v>
      </c>
      <c r="BP64" s="20">
        <v>238</v>
      </c>
      <c r="BQ64" s="20">
        <v>237</v>
      </c>
      <c r="BR64" s="20">
        <v>240</v>
      </c>
      <c r="BS64" s="20">
        <v>236</v>
      </c>
      <c r="BT64" s="20">
        <v>232</v>
      </c>
      <c r="BU64" s="20">
        <v>238</v>
      </c>
      <c r="BV64" s="20">
        <v>240</v>
      </c>
      <c r="BW64" s="20">
        <v>240</v>
      </c>
      <c r="BX64" s="20">
        <v>237</v>
      </c>
      <c r="BY64" s="20">
        <v>224</v>
      </c>
      <c r="BZ64" s="20">
        <v>219</v>
      </c>
      <c r="CA64" s="20">
        <v>226</v>
      </c>
      <c r="CB64" s="20">
        <v>228</v>
      </c>
      <c r="CC64" s="20">
        <v>222</v>
      </c>
    </row>
    <row r="65" spans="1:81" x14ac:dyDescent="0.25">
      <c r="A65" s="13" t="s">
        <v>275</v>
      </c>
      <c r="B65" s="14">
        <v>4</v>
      </c>
      <c r="C65" s="13" t="s">
        <v>276</v>
      </c>
      <c r="D65" s="15">
        <v>14124</v>
      </c>
      <c r="E65" s="16">
        <v>59.980201000000001</v>
      </c>
      <c r="F65" s="17">
        <v>0</v>
      </c>
      <c r="G65" s="13" t="s">
        <v>252</v>
      </c>
      <c r="H65" s="18">
        <v>235.47770371759839</v>
      </c>
      <c r="I65" s="16">
        <v>239.96064645398161</v>
      </c>
      <c r="J65" s="16">
        <v>182.68937763575099</v>
      </c>
      <c r="K65" s="16">
        <v>156.58749253331791</v>
      </c>
      <c r="L65" s="16">
        <v>160.65590007136771</v>
      </c>
      <c r="M65" s="16">
        <v>80.844011479849641</v>
      </c>
      <c r="N65" s="16">
        <v>38.932016912068143</v>
      </c>
      <c r="O65" s="16">
        <v>384.89665524806588</v>
      </c>
      <c r="P65" s="19">
        <v>4.2466865618804874</v>
      </c>
      <c r="Q65" s="19">
        <v>0.46812223734152769</v>
      </c>
      <c r="R65" s="16">
        <v>11.02323495083275</v>
      </c>
      <c r="S65" s="16">
        <v>2.8322594349642429E-2</v>
      </c>
      <c r="T65" s="16">
        <v>2.8320589068252619E-2</v>
      </c>
      <c r="U65" s="14"/>
      <c r="V65" s="20">
        <v>238</v>
      </c>
      <c r="W65" s="20">
        <v>239</v>
      </c>
      <c r="X65" s="20">
        <v>238</v>
      </c>
      <c r="Y65" s="20">
        <v>237</v>
      </c>
      <c r="Z65" s="20">
        <v>237</v>
      </c>
      <c r="AA65" s="20">
        <v>236</v>
      </c>
      <c r="AB65" s="20">
        <v>241</v>
      </c>
      <c r="AC65" s="20">
        <v>241</v>
      </c>
      <c r="AD65" s="20">
        <v>242</v>
      </c>
      <c r="AE65" s="20">
        <v>237</v>
      </c>
      <c r="AF65" s="20">
        <v>239</v>
      </c>
      <c r="AG65" s="20">
        <v>239</v>
      </c>
      <c r="AH65" s="20">
        <v>239</v>
      </c>
      <c r="AI65" s="20">
        <v>237</v>
      </c>
      <c r="AJ65" s="20">
        <v>237</v>
      </c>
      <c r="AK65" s="20">
        <v>237</v>
      </c>
      <c r="AL65" s="20">
        <v>217</v>
      </c>
      <c r="AM65" s="20">
        <v>234</v>
      </c>
      <c r="AN65" s="20">
        <v>238</v>
      </c>
      <c r="AO65" s="20">
        <v>239</v>
      </c>
      <c r="AP65" s="20">
        <v>235</v>
      </c>
      <c r="AQ65" s="20">
        <v>235</v>
      </c>
      <c r="AR65" s="20">
        <v>238</v>
      </c>
      <c r="AS65" s="20">
        <v>239</v>
      </c>
      <c r="AT65" s="20">
        <v>241</v>
      </c>
      <c r="AU65" s="20">
        <v>235</v>
      </c>
      <c r="AV65" s="20">
        <v>239</v>
      </c>
      <c r="AW65" s="20">
        <v>236</v>
      </c>
      <c r="AX65" s="20">
        <v>235</v>
      </c>
      <c r="AY65" s="20">
        <v>230</v>
      </c>
      <c r="AZ65" s="20">
        <v>227</v>
      </c>
      <c r="BA65" s="20">
        <v>229</v>
      </c>
      <c r="BB65" s="20">
        <v>229</v>
      </c>
      <c r="BC65" s="20">
        <v>229</v>
      </c>
      <c r="BD65" s="20">
        <v>232</v>
      </c>
      <c r="BE65" s="20">
        <v>224</v>
      </c>
      <c r="BF65" s="20">
        <v>229</v>
      </c>
      <c r="BG65" s="20">
        <v>231</v>
      </c>
      <c r="BH65" s="20">
        <v>216</v>
      </c>
      <c r="BI65" s="20">
        <v>220</v>
      </c>
      <c r="BJ65" s="20">
        <v>236</v>
      </c>
      <c r="BK65" s="20">
        <v>240</v>
      </c>
      <c r="BL65" s="20">
        <v>239</v>
      </c>
      <c r="BM65" s="20">
        <v>232</v>
      </c>
      <c r="BN65" s="20">
        <v>236</v>
      </c>
      <c r="BO65" s="20">
        <v>237</v>
      </c>
      <c r="BP65" s="20">
        <v>238</v>
      </c>
      <c r="BQ65" s="20">
        <v>239</v>
      </c>
      <c r="BR65" s="20">
        <v>240</v>
      </c>
      <c r="BS65" s="20">
        <v>239</v>
      </c>
      <c r="BT65" s="20">
        <v>239</v>
      </c>
      <c r="BU65" s="20">
        <v>240</v>
      </c>
      <c r="BV65" s="20">
        <v>240</v>
      </c>
      <c r="BW65" s="20">
        <v>237</v>
      </c>
      <c r="BX65" s="20">
        <v>237</v>
      </c>
      <c r="BY65" s="20">
        <v>234</v>
      </c>
      <c r="BZ65" s="20">
        <v>238</v>
      </c>
      <c r="CA65" s="20">
        <v>240</v>
      </c>
      <c r="CB65" s="20">
        <v>239</v>
      </c>
      <c r="CC65" s="20">
        <v>233</v>
      </c>
    </row>
    <row r="66" spans="1:81" x14ac:dyDescent="0.25">
      <c r="A66" s="13" t="s">
        <v>275</v>
      </c>
      <c r="B66" s="14">
        <v>5</v>
      </c>
      <c r="C66" s="13" t="s">
        <v>276</v>
      </c>
      <c r="D66" s="15">
        <v>13958</v>
      </c>
      <c r="E66" s="16">
        <v>59.987184900000003</v>
      </c>
      <c r="F66" s="17">
        <v>0</v>
      </c>
      <c r="G66" s="13" t="s">
        <v>252</v>
      </c>
      <c r="H66" s="18">
        <v>232.6830309384963</v>
      </c>
      <c r="I66" s="16">
        <v>236.76484515579119</v>
      </c>
      <c r="J66" s="16">
        <v>179.45347444358211</v>
      </c>
      <c r="K66" s="16">
        <v>158.1414808330311</v>
      </c>
      <c r="L66" s="16">
        <v>155.8481780104521</v>
      </c>
      <c r="M66" s="16">
        <v>74.002264469292768</v>
      </c>
      <c r="N66" s="16">
        <v>43.695598979270812</v>
      </c>
      <c r="O66" s="16">
        <v>323.20620555914672</v>
      </c>
      <c r="P66" s="19">
        <v>4.2976919974208343</v>
      </c>
      <c r="Q66" s="19">
        <v>0.48497002567062009</v>
      </c>
      <c r="R66" s="16">
        <v>11.28442954873603</v>
      </c>
      <c r="S66" s="16">
        <v>1.432972701870029E-2</v>
      </c>
      <c r="T66" s="16">
        <v>3.5821750967187267E-2</v>
      </c>
      <c r="U66" s="14"/>
      <c r="V66" s="20">
        <v>230</v>
      </c>
      <c r="W66" s="20">
        <v>230</v>
      </c>
      <c r="X66" s="20">
        <v>236</v>
      </c>
      <c r="Y66" s="20">
        <v>230</v>
      </c>
      <c r="Z66" s="20">
        <v>241</v>
      </c>
      <c r="AA66" s="20">
        <v>233</v>
      </c>
      <c r="AB66" s="20">
        <v>240</v>
      </c>
      <c r="AC66" s="20">
        <v>240</v>
      </c>
      <c r="AD66" s="20">
        <v>240</v>
      </c>
      <c r="AE66" s="20">
        <v>238</v>
      </c>
      <c r="AF66" s="20">
        <v>235</v>
      </c>
      <c r="AG66" s="20">
        <v>237</v>
      </c>
      <c r="AH66" s="20">
        <v>240</v>
      </c>
      <c r="AI66" s="20">
        <v>241</v>
      </c>
      <c r="AJ66" s="20">
        <v>237</v>
      </c>
      <c r="AK66" s="20">
        <v>236</v>
      </c>
      <c r="AL66" s="20">
        <v>240</v>
      </c>
      <c r="AM66" s="20">
        <v>237</v>
      </c>
      <c r="AN66" s="20">
        <v>240</v>
      </c>
      <c r="AO66" s="20">
        <v>237</v>
      </c>
      <c r="AP66" s="20">
        <v>237</v>
      </c>
      <c r="AQ66" s="20">
        <v>240</v>
      </c>
      <c r="AR66" s="20">
        <v>239</v>
      </c>
      <c r="AS66" s="20">
        <v>241</v>
      </c>
      <c r="AT66" s="20">
        <v>237</v>
      </c>
      <c r="AU66" s="20">
        <v>236</v>
      </c>
      <c r="AV66" s="20">
        <v>230</v>
      </c>
      <c r="AW66" s="20">
        <v>226</v>
      </c>
      <c r="AX66" s="20">
        <v>227</v>
      </c>
      <c r="AY66" s="20">
        <v>225</v>
      </c>
      <c r="AZ66" s="20">
        <v>226</v>
      </c>
      <c r="BA66" s="20">
        <v>226</v>
      </c>
      <c r="BB66" s="20">
        <v>227</v>
      </c>
      <c r="BC66" s="20">
        <v>229</v>
      </c>
      <c r="BD66" s="20">
        <v>226</v>
      </c>
      <c r="BE66" s="20">
        <v>229</v>
      </c>
      <c r="BF66" s="20">
        <v>230</v>
      </c>
      <c r="BG66" s="20">
        <v>231</v>
      </c>
      <c r="BH66" s="20">
        <v>228</v>
      </c>
      <c r="BI66" s="20">
        <v>229</v>
      </c>
      <c r="BJ66" s="20">
        <v>229</v>
      </c>
      <c r="BK66" s="20">
        <v>225</v>
      </c>
      <c r="BL66" s="20">
        <v>231</v>
      </c>
      <c r="BM66" s="20">
        <v>231</v>
      </c>
      <c r="BN66" s="20">
        <v>229</v>
      </c>
      <c r="BO66" s="20">
        <v>230</v>
      </c>
      <c r="BP66" s="20">
        <v>228</v>
      </c>
      <c r="BQ66" s="20">
        <v>230</v>
      </c>
      <c r="BR66" s="20">
        <v>232</v>
      </c>
      <c r="BS66" s="20">
        <v>228</v>
      </c>
      <c r="BT66" s="20">
        <v>226</v>
      </c>
      <c r="BU66" s="20">
        <v>225</v>
      </c>
      <c r="BV66" s="20">
        <v>228</v>
      </c>
      <c r="BW66" s="20">
        <v>230</v>
      </c>
      <c r="BX66" s="20">
        <v>229</v>
      </c>
      <c r="BY66" s="20">
        <v>228</v>
      </c>
      <c r="BZ66" s="20">
        <v>230</v>
      </c>
      <c r="CA66" s="20">
        <v>239</v>
      </c>
      <c r="CB66" s="20">
        <v>239</v>
      </c>
      <c r="CC66" s="20">
        <v>234</v>
      </c>
    </row>
    <row r="67" spans="1:81" x14ac:dyDescent="0.25">
      <c r="A67" s="21" t="s">
        <v>277</v>
      </c>
      <c r="B67" s="22">
        <v>1</v>
      </c>
      <c r="C67" s="21" t="s">
        <v>278</v>
      </c>
      <c r="D67" s="23">
        <v>13855</v>
      </c>
      <c r="E67" s="24">
        <v>59.989624000000013</v>
      </c>
      <c r="F67" s="25">
        <v>5</v>
      </c>
      <c r="G67" s="21" t="s">
        <v>252</v>
      </c>
      <c r="H67" s="26">
        <v>230.95660676252939</v>
      </c>
      <c r="I67" s="24">
        <v>236.1609673153221</v>
      </c>
      <c r="J67" s="24">
        <v>170.1103812241688</v>
      </c>
      <c r="K67" s="24">
        <v>132.78721669150181</v>
      </c>
      <c r="L67" s="24">
        <v>137.22882426972771</v>
      </c>
      <c r="M67" s="24">
        <v>45.049171170332407</v>
      </c>
      <c r="N67" s="24">
        <v>37.108918386355789</v>
      </c>
      <c r="O67" s="24">
        <v>543.36013910019562</v>
      </c>
      <c r="P67" s="27">
        <v>4.3298176831468789</v>
      </c>
      <c r="Q67" s="27">
        <v>0.56284077129755128</v>
      </c>
      <c r="R67" s="24">
        <v>12.99917946864873</v>
      </c>
      <c r="S67" s="24">
        <v>5.0526923632164003E-2</v>
      </c>
      <c r="T67" s="24">
        <v>5.7740887766149412E-2</v>
      </c>
      <c r="U67" s="22"/>
      <c r="V67" s="28">
        <v>230</v>
      </c>
      <c r="W67" s="28">
        <v>236</v>
      </c>
      <c r="X67" s="28">
        <v>237</v>
      </c>
      <c r="Y67" s="28">
        <v>237</v>
      </c>
      <c r="Z67" s="28">
        <v>236</v>
      </c>
      <c r="AA67" s="28">
        <v>239</v>
      </c>
      <c r="AB67" s="28">
        <v>241</v>
      </c>
      <c r="AC67" s="28">
        <v>237</v>
      </c>
      <c r="AD67" s="28">
        <v>237</v>
      </c>
      <c r="AE67" s="28">
        <v>237</v>
      </c>
      <c r="AF67" s="28">
        <v>233</v>
      </c>
      <c r="AG67" s="28">
        <v>231</v>
      </c>
      <c r="AH67" s="28">
        <v>236</v>
      </c>
      <c r="AI67" s="28">
        <v>226</v>
      </c>
      <c r="AJ67" s="28">
        <v>227</v>
      </c>
      <c r="AK67" s="28">
        <v>229</v>
      </c>
      <c r="AL67" s="28">
        <v>222</v>
      </c>
      <c r="AM67" s="28">
        <v>221</v>
      </c>
      <c r="AN67" s="28">
        <v>226</v>
      </c>
      <c r="AO67" s="28">
        <v>223</v>
      </c>
      <c r="AP67" s="28">
        <v>223</v>
      </c>
      <c r="AQ67" s="28">
        <v>223</v>
      </c>
      <c r="AR67" s="28">
        <v>221</v>
      </c>
      <c r="AS67" s="28">
        <v>215</v>
      </c>
      <c r="AT67" s="28">
        <v>225</v>
      </c>
      <c r="AU67" s="28">
        <v>228</v>
      </c>
      <c r="AV67" s="28">
        <v>227</v>
      </c>
      <c r="AW67" s="28">
        <v>228</v>
      </c>
      <c r="AX67" s="28">
        <v>224</v>
      </c>
      <c r="AY67" s="28">
        <v>228</v>
      </c>
      <c r="AZ67" s="28">
        <v>211</v>
      </c>
      <c r="BA67" s="28">
        <v>220</v>
      </c>
      <c r="BB67" s="28">
        <v>236</v>
      </c>
      <c r="BC67" s="28">
        <v>236</v>
      </c>
      <c r="BD67" s="28">
        <v>231</v>
      </c>
      <c r="BE67" s="28">
        <v>234</v>
      </c>
      <c r="BF67" s="28">
        <v>233</v>
      </c>
      <c r="BG67" s="28">
        <v>234</v>
      </c>
      <c r="BH67" s="28">
        <v>235</v>
      </c>
      <c r="BI67" s="28">
        <v>235</v>
      </c>
      <c r="BJ67" s="28">
        <v>236</v>
      </c>
      <c r="BK67" s="28">
        <v>234</v>
      </c>
      <c r="BL67" s="28">
        <v>233</v>
      </c>
      <c r="BM67" s="28">
        <v>224</v>
      </c>
      <c r="BN67" s="28">
        <v>216</v>
      </c>
      <c r="BO67" s="28">
        <v>235</v>
      </c>
      <c r="BP67" s="28">
        <v>235</v>
      </c>
      <c r="BQ67" s="28">
        <v>233</v>
      </c>
      <c r="BR67" s="28">
        <v>238</v>
      </c>
      <c r="BS67" s="28">
        <v>230</v>
      </c>
      <c r="BT67" s="28">
        <v>237</v>
      </c>
      <c r="BU67" s="28">
        <v>231</v>
      </c>
      <c r="BV67" s="28">
        <v>234</v>
      </c>
      <c r="BW67" s="28">
        <v>236</v>
      </c>
      <c r="BX67" s="28">
        <v>235</v>
      </c>
      <c r="BY67" s="28">
        <v>235</v>
      </c>
      <c r="BZ67" s="28">
        <v>238</v>
      </c>
      <c r="CA67" s="28">
        <v>239</v>
      </c>
      <c r="CB67" s="28">
        <v>235</v>
      </c>
      <c r="CC67" s="28">
        <v>233</v>
      </c>
    </row>
    <row r="68" spans="1:81" x14ac:dyDescent="0.25">
      <c r="A68" s="21" t="s">
        <v>277</v>
      </c>
      <c r="B68" s="22">
        <v>2</v>
      </c>
      <c r="C68" s="21" t="s">
        <v>278</v>
      </c>
      <c r="D68" s="23">
        <v>13605</v>
      </c>
      <c r="E68" s="24">
        <v>60.000839800000001</v>
      </c>
      <c r="F68" s="25">
        <v>0</v>
      </c>
      <c r="G68" s="21" t="s">
        <v>252</v>
      </c>
      <c r="H68" s="26">
        <v>226.7468263002545</v>
      </c>
      <c r="I68" s="24">
        <v>230.35105500783189</v>
      </c>
      <c r="J68" s="24">
        <v>168.91960372812321</v>
      </c>
      <c r="K68" s="24">
        <v>132.58908780139549</v>
      </c>
      <c r="L68" s="24">
        <v>140.29354360859739</v>
      </c>
      <c r="M68" s="24">
        <v>73.940433586702554</v>
      </c>
      <c r="N68" s="24">
        <v>35.68217175970198</v>
      </c>
      <c r="O68" s="24">
        <v>413.03539713353427</v>
      </c>
      <c r="P68" s="27">
        <v>4.4102050569643518</v>
      </c>
      <c r="Q68" s="27">
        <v>0.54557645649380371</v>
      </c>
      <c r="R68" s="24">
        <v>12.370773001410891</v>
      </c>
      <c r="S68" s="24">
        <v>2.9403116730373421E-2</v>
      </c>
      <c r="T68" s="24">
        <v>5.8801911062109517E-2</v>
      </c>
      <c r="U68" s="22"/>
      <c r="V68" s="28">
        <v>204</v>
      </c>
      <c r="W68" s="28">
        <v>200</v>
      </c>
      <c r="X68" s="28">
        <v>229</v>
      </c>
      <c r="Y68" s="28">
        <v>227</v>
      </c>
      <c r="Z68" s="28">
        <v>227</v>
      </c>
      <c r="AA68" s="28">
        <v>232</v>
      </c>
      <c r="AB68" s="28">
        <v>224</v>
      </c>
      <c r="AC68" s="28">
        <v>229</v>
      </c>
      <c r="AD68" s="28">
        <v>224</v>
      </c>
      <c r="AE68" s="28">
        <v>228</v>
      </c>
      <c r="AF68" s="28">
        <v>226</v>
      </c>
      <c r="AG68" s="28">
        <v>225</v>
      </c>
      <c r="AH68" s="28">
        <v>228</v>
      </c>
      <c r="AI68" s="28">
        <v>225</v>
      </c>
      <c r="AJ68" s="28">
        <v>228</v>
      </c>
      <c r="AK68" s="28">
        <v>227</v>
      </c>
      <c r="AL68" s="28">
        <v>217</v>
      </c>
      <c r="AM68" s="28">
        <v>218</v>
      </c>
      <c r="AN68" s="28">
        <v>224</v>
      </c>
      <c r="AO68" s="28">
        <v>225</v>
      </c>
      <c r="AP68" s="28">
        <v>230</v>
      </c>
      <c r="AQ68" s="28">
        <v>226</v>
      </c>
      <c r="AR68" s="28">
        <v>228</v>
      </c>
      <c r="AS68" s="28">
        <v>228</v>
      </c>
      <c r="AT68" s="28">
        <v>226</v>
      </c>
      <c r="AU68" s="28">
        <v>228</v>
      </c>
      <c r="AV68" s="28">
        <v>225</v>
      </c>
      <c r="AW68" s="28">
        <v>228</v>
      </c>
      <c r="AX68" s="28">
        <v>226</v>
      </c>
      <c r="AY68" s="28">
        <v>227</v>
      </c>
      <c r="AZ68" s="28">
        <v>227</v>
      </c>
      <c r="BA68" s="28">
        <v>230</v>
      </c>
      <c r="BB68" s="28">
        <v>225</v>
      </c>
      <c r="BC68" s="28">
        <v>225</v>
      </c>
      <c r="BD68" s="28">
        <v>223</v>
      </c>
      <c r="BE68" s="28">
        <v>214</v>
      </c>
      <c r="BF68" s="28">
        <v>223</v>
      </c>
      <c r="BG68" s="28">
        <v>228</v>
      </c>
      <c r="BH68" s="28">
        <v>230</v>
      </c>
      <c r="BI68" s="28">
        <v>230</v>
      </c>
      <c r="BJ68" s="28">
        <v>227</v>
      </c>
      <c r="BK68" s="28">
        <v>228</v>
      </c>
      <c r="BL68" s="28">
        <v>228</v>
      </c>
      <c r="BM68" s="28">
        <v>228</v>
      </c>
      <c r="BN68" s="28">
        <v>231</v>
      </c>
      <c r="BO68" s="28">
        <v>226</v>
      </c>
      <c r="BP68" s="28">
        <v>226</v>
      </c>
      <c r="BQ68" s="28">
        <v>232</v>
      </c>
      <c r="BR68" s="28">
        <v>237</v>
      </c>
      <c r="BS68" s="28">
        <v>234</v>
      </c>
      <c r="BT68" s="28">
        <v>228</v>
      </c>
      <c r="BU68" s="28">
        <v>235</v>
      </c>
      <c r="BV68" s="28">
        <v>236</v>
      </c>
      <c r="BW68" s="28">
        <v>236</v>
      </c>
      <c r="BX68" s="28">
        <v>231</v>
      </c>
      <c r="BY68" s="28">
        <v>229</v>
      </c>
      <c r="BZ68" s="28">
        <v>222</v>
      </c>
      <c r="CA68" s="28">
        <v>227</v>
      </c>
      <c r="CB68" s="28">
        <v>231</v>
      </c>
      <c r="CC68" s="28">
        <v>239</v>
      </c>
    </row>
    <row r="69" spans="1:81" x14ac:dyDescent="0.25">
      <c r="A69" s="21" t="s">
        <v>277</v>
      </c>
      <c r="B69" s="22">
        <v>3</v>
      </c>
      <c r="C69" s="21" t="s">
        <v>278</v>
      </c>
      <c r="D69" s="23">
        <v>14205</v>
      </c>
      <c r="E69" s="24">
        <v>59.990443300000003</v>
      </c>
      <c r="F69" s="25">
        <v>0</v>
      </c>
      <c r="G69" s="21" t="s">
        <v>252</v>
      </c>
      <c r="H69" s="26">
        <v>236.78771515262329</v>
      </c>
      <c r="I69" s="24">
        <v>241.56923374239059</v>
      </c>
      <c r="J69" s="24">
        <v>184.87924427281081</v>
      </c>
      <c r="K69" s="24">
        <v>158.73813091184189</v>
      </c>
      <c r="L69" s="24">
        <v>148.30829394970479</v>
      </c>
      <c r="M69" s="24">
        <v>27.440074307721229</v>
      </c>
      <c r="N69" s="24">
        <v>20.203571183242349</v>
      </c>
      <c r="O69" s="24">
        <v>432.264199878966</v>
      </c>
      <c r="P69" s="27">
        <v>4.2231920661738824</v>
      </c>
      <c r="Q69" s="27">
        <v>0.58280553181880879</v>
      </c>
      <c r="R69" s="24">
        <v>13.80011902576852</v>
      </c>
      <c r="S69" s="24">
        <v>2.81610813855252E-2</v>
      </c>
      <c r="T69" s="24">
        <v>3.5198873636043647E-2</v>
      </c>
      <c r="U69" s="22"/>
      <c r="V69" s="28">
        <v>234</v>
      </c>
      <c r="W69" s="28">
        <v>231</v>
      </c>
      <c r="X69" s="28">
        <v>239</v>
      </c>
      <c r="Y69" s="28">
        <v>235</v>
      </c>
      <c r="Z69" s="28">
        <v>240</v>
      </c>
      <c r="AA69" s="28">
        <v>237</v>
      </c>
      <c r="AB69" s="28">
        <v>234</v>
      </c>
      <c r="AC69" s="28">
        <v>235</v>
      </c>
      <c r="AD69" s="28">
        <v>238</v>
      </c>
      <c r="AE69" s="28">
        <v>237</v>
      </c>
      <c r="AF69" s="28">
        <v>235</v>
      </c>
      <c r="AG69" s="28">
        <v>232</v>
      </c>
      <c r="AH69" s="28">
        <v>236</v>
      </c>
      <c r="AI69" s="28">
        <v>240</v>
      </c>
      <c r="AJ69" s="28">
        <v>238</v>
      </c>
      <c r="AK69" s="28">
        <v>237</v>
      </c>
      <c r="AL69" s="28">
        <v>226</v>
      </c>
      <c r="AM69" s="28">
        <v>239</v>
      </c>
      <c r="AN69" s="28">
        <v>237</v>
      </c>
      <c r="AO69" s="28">
        <v>236</v>
      </c>
      <c r="AP69" s="28">
        <v>238</v>
      </c>
      <c r="AQ69" s="28">
        <v>238</v>
      </c>
      <c r="AR69" s="28">
        <v>231</v>
      </c>
      <c r="AS69" s="28">
        <v>240</v>
      </c>
      <c r="AT69" s="28">
        <v>239</v>
      </c>
      <c r="AU69" s="28">
        <v>235</v>
      </c>
      <c r="AV69" s="28">
        <v>239</v>
      </c>
      <c r="AW69" s="28">
        <v>238</v>
      </c>
      <c r="AX69" s="28">
        <v>237</v>
      </c>
      <c r="AY69" s="28">
        <v>239</v>
      </c>
      <c r="AZ69" s="28">
        <v>236</v>
      </c>
      <c r="BA69" s="28">
        <v>233</v>
      </c>
      <c r="BB69" s="28">
        <v>238</v>
      </c>
      <c r="BC69" s="28">
        <v>234</v>
      </c>
      <c r="BD69" s="28">
        <v>235</v>
      </c>
      <c r="BE69" s="28">
        <v>235</v>
      </c>
      <c r="BF69" s="28">
        <v>236</v>
      </c>
      <c r="BG69" s="28">
        <v>239</v>
      </c>
      <c r="BH69" s="28">
        <v>240</v>
      </c>
      <c r="BI69" s="28">
        <v>237</v>
      </c>
      <c r="BJ69" s="28">
        <v>237</v>
      </c>
      <c r="BK69" s="28">
        <v>237</v>
      </c>
      <c r="BL69" s="28">
        <v>238</v>
      </c>
      <c r="BM69" s="28">
        <v>238</v>
      </c>
      <c r="BN69" s="28">
        <v>238</v>
      </c>
      <c r="BO69" s="28">
        <v>239</v>
      </c>
      <c r="BP69" s="28">
        <v>239</v>
      </c>
      <c r="BQ69" s="28">
        <v>240</v>
      </c>
      <c r="BR69" s="28">
        <v>239</v>
      </c>
      <c r="BS69" s="28">
        <v>236</v>
      </c>
      <c r="BT69" s="28">
        <v>237</v>
      </c>
      <c r="BU69" s="28">
        <v>234</v>
      </c>
      <c r="BV69" s="28">
        <v>238</v>
      </c>
      <c r="BW69" s="28">
        <v>239</v>
      </c>
      <c r="BX69" s="28">
        <v>236</v>
      </c>
      <c r="BY69" s="28">
        <v>241</v>
      </c>
      <c r="BZ69" s="28">
        <v>237</v>
      </c>
      <c r="CA69" s="28">
        <v>237</v>
      </c>
      <c r="CB69" s="28">
        <v>236</v>
      </c>
      <c r="CC69" s="28">
        <v>236</v>
      </c>
    </row>
    <row r="70" spans="1:81" x14ac:dyDescent="0.25">
      <c r="A70" s="21" t="s">
        <v>277</v>
      </c>
      <c r="B70" s="22">
        <v>4</v>
      </c>
      <c r="C70" s="21" t="s">
        <v>278</v>
      </c>
      <c r="D70" s="23">
        <v>14139</v>
      </c>
      <c r="E70" s="24">
        <v>59.996198300000003</v>
      </c>
      <c r="F70" s="25">
        <v>0</v>
      </c>
      <c r="G70" s="21" t="s">
        <v>252</v>
      </c>
      <c r="H70" s="26">
        <v>235.66493212287421</v>
      </c>
      <c r="I70" s="24">
        <v>240.57545649192869</v>
      </c>
      <c r="J70" s="24">
        <v>183.2295826359921</v>
      </c>
      <c r="K70" s="24">
        <v>115.7978355068558</v>
      </c>
      <c r="L70" s="24">
        <v>136.62139944298451</v>
      </c>
      <c r="M70" s="24">
        <v>55.884966385192712</v>
      </c>
      <c r="N70" s="24">
        <v>33.436093594313178</v>
      </c>
      <c r="O70" s="24">
        <v>443.34101791097709</v>
      </c>
      <c r="P70" s="27">
        <v>4.2433127024542054</v>
      </c>
      <c r="Q70" s="27">
        <v>0.51632672869806606</v>
      </c>
      <c r="R70" s="24">
        <v>12.16801034718554</v>
      </c>
      <c r="S70" s="24">
        <v>9.1950770971848922E-2</v>
      </c>
      <c r="T70" s="24">
        <v>0.1202348115142514</v>
      </c>
      <c r="U70" s="22"/>
      <c r="V70" s="28">
        <v>221</v>
      </c>
      <c r="W70" s="28">
        <v>217</v>
      </c>
      <c r="X70" s="28">
        <v>223</v>
      </c>
      <c r="Y70" s="28">
        <v>223</v>
      </c>
      <c r="Z70" s="28">
        <v>236</v>
      </c>
      <c r="AA70" s="28">
        <v>239</v>
      </c>
      <c r="AB70" s="28">
        <v>237</v>
      </c>
      <c r="AC70" s="28">
        <v>233</v>
      </c>
      <c r="AD70" s="28">
        <v>233</v>
      </c>
      <c r="AE70" s="28">
        <v>238</v>
      </c>
      <c r="AF70" s="28">
        <v>238</v>
      </c>
      <c r="AG70" s="28">
        <v>240</v>
      </c>
      <c r="AH70" s="28">
        <v>234</v>
      </c>
      <c r="AI70" s="28">
        <v>234</v>
      </c>
      <c r="AJ70" s="28">
        <v>234</v>
      </c>
      <c r="AK70" s="28">
        <v>238</v>
      </c>
      <c r="AL70" s="28">
        <v>235</v>
      </c>
      <c r="AM70" s="28">
        <v>237</v>
      </c>
      <c r="AN70" s="28">
        <v>235</v>
      </c>
      <c r="AO70" s="28">
        <v>239</v>
      </c>
      <c r="AP70" s="28">
        <v>237</v>
      </c>
      <c r="AQ70" s="28">
        <v>239</v>
      </c>
      <c r="AR70" s="28">
        <v>237</v>
      </c>
      <c r="AS70" s="28">
        <v>239</v>
      </c>
      <c r="AT70" s="28">
        <v>237</v>
      </c>
      <c r="AU70" s="28">
        <v>237</v>
      </c>
      <c r="AV70" s="28">
        <v>238</v>
      </c>
      <c r="AW70" s="28">
        <v>236</v>
      </c>
      <c r="AX70" s="28">
        <v>239</v>
      </c>
      <c r="AY70" s="28">
        <v>238</v>
      </c>
      <c r="AZ70" s="28">
        <v>236</v>
      </c>
      <c r="BA70" s="28">
        <v>235</v>
      </c>
      <c r="BB70" s="28">
        <v>238</v>
      </c>
      <c r="BC70" s="28">
        <v>237</v>
      </c>
      <c r="BD70" s="28">
        <v>235</v>
      </c>
      <c r="BE70" s="28">
        <v>237</v>
      </c>
      <c r="BF70" s="28">
        <v>235</v>
      </c>
      <c r="BG70" s="28">
        <v>236</v>
      </c>
      <c r="BH70" s="28">
        <v>238</v>
      </c>
      <c r="BI70" s="28">
        <v>235</v>
      </c>
      <c r="BJ70" s="28">
        <v>235</v>
      </c>
      <c r="BK70" s="28">
        <v>237</v>
      </c>
      <c r="BL70" s="28">
        <v>238</v>
      </c>
      <c r="BM70" s="28">
        <v>239</v>
      </c>
      <c r="BN70" s="28">
        <v>237</v>
      </c>
      <c r="BO70" s="28">
        <v>239</v>
      </c>
      <c r="BP70" s="28">
        <v>237</v>
      </c>
      <c r="BQ70" s="28">
        <v>234</v>
      </c>
      <c r="BR70" s="28">
        <v>237</v>
      </c>
      <c r="BS70" s="28">
        <v>239</v>
      </c>
      <c r="BT70" s="28">
        <v>238</v>
      </c>
      <c r="BU70" s="28">
        <v>235</v>
      </c>
      <c r="BV70" s="28">
        <v>230</v>
      </c>
      <c r="BW70" s="28">
        <v>238</v>
      </c>
      <c r="BX70" s="28">
        <v>238</v>
      </c>
      <c r="BY70" s="28">
        <v>239</v>
      </c>
      <c r="BZ70" s="28">
        <v>240</v>
      </c>
      <c r="CA70" s="28">
        <v>234</v>
      </c>
      <c r="CB70" s="28">
        <v>238</v>
      </c>
      <c r="CC70" s="28">
        <v>234</v>
      </c>
    </row>
    <row r="71" spans="1:81" x14ac:dyDescent="0.25">
      <c r="A71" s="21" t="s">
        <v>277</v>
      </c>
      <c r="B71" s="22">
        <v>5</v>
      </c>
      <c r="C71" s="21" t="s">
        <v>278</v>
      </c>
      <c r="D71" s="23">
        <v>14044</v>
      </c>
      <c r="E71" s="24">
        <v>59.9874303</v>
      </c>
      <c r="F71" s="25">
        <v>0</v>
      </c>
      <c r="G71" s="21" t="s">
        <v>252</v>
      </c>
      <c r="H71" s="26">
        <v>234.1157127379067</v>
      </c>
      <c r="I71" s="24">
        <v>239.2487588970632</v>
      </c>
      <c r="J71" s="24">
        <v>180.24578314990319</v>
      </c>
      <c r="K71" s="24">
        <v>101.8915109525782</v>
      </c>
      <c r="L71" s="24">
        <v>115.674488024716</v>
      </c>
      <c r="M71" s="24">
        <v>49.894224244601453</v>
      </c>
      <c r="N71" s="24">
        <v>32.278577031210148</v>
      </c>
      <c r="O71" s="24">
        <v>367.17459151826688</v>
      </c>
      <c r="P71" s="27">
        <v>4.2713920749074337</v>
      </c>
      <c r="Q71" s="27">
        <v>0.57240996105543418</v>
      </c>
      <c r="R71" s="24">
        <v>13.401016601077041</v>
      </c>
      <c r="S71" s="24">
        <v>0.15666168197678559</v>
      </c>
      <c r="T71" s="24">
        <v>0.24209626886926799</v>
      </c>
      <c r="U71" s="22"/>
      <c r="V71" s="28">
        <v>236</v>
      </c>
      <c r="W71" s="28">
        <v>240</v>
      </c>
      <c r="X71" s="28">
        <v>229</v>
      </c>
      <c r="Y71" s="28">
        <v>234</v>
      </c>
      <c r="Z71" s="28">
        <v>238</v>
      </c>
      <c r="AA71" s="28">
        <v>237</v>
      </c>
      <c r="AB71" s="28">
        <v>239</v>
      </c>
      <c r="AC71" s="28">
        <v>240</v>
      </c>
      <c r="AD71" s="28">
        <v>236</v>
      </c>
      <c r="AE71" s="28">
        <v>240</v>
      </c>
      <c r="AF71" s="28">
        <v>240</v>
      </c>
      <c r="AG71" s="28">
        <v>238</v>
      </c>
      <c r="AH71" s="28">
        <v>233</v>
      </c>
      <c r="AI71" s="28">
        <v>238</v>
      </c>
      <c r="AJ71" s="28">
        <v>237</v>
      </c>
      <c r="AK71" s="28">
        <v>239</v>
      </c>
      <c r="AL71" s="28">
        <v>236</v>
      </c>
      <c r="AM71" s="28">
        <v>237</v>
      </c>
      <c r="AN71" s="28">
        <v>241</v>
      </c>
      <c r="AO71" s="28">
        <v>237</v>
      </c>
      <c r="AP71" s="28">
        <v>238</v>
      </c>
      <c r="AQ71" s="28">
        <v>235</v>
      </c>
      <c r="AR71" s="28">
        <v>235</v>
      </c>
      <c r="AS71" s="28">
        <v>234</v>
      </c>
      <c r="AT71" s="28">
        <v>237</v>
      </c>
      <c r="AU71" s="28">
        <v>239</v>
      </c>
      <c r="AV71" s="28">
        <v>239</v>
      </c>
      <c r="AW71" s="28">
        <v>240</v>
      </c>
      <c r="AX71" s="28">
        <v>238</v>
      </c>
      <c r="AY71" s="28">
        <v>237</v>
      </c>
      <c r="AZ71" s="28">
        <v>237</v>
      </c>
      <c r="BA71" s="28">
        <v>239</v>
      </c>
      <c r="BB71" s="28">
        <v>234</v>
      </c>
      <c r="BC71" s="28">
        <v>237</v>
      </c>
      <c r="BD71" s="28">
        <v>235</v>
      </c>
      <c r="BE71" s="28">
        <v>238</v>
      </c>
      <c r="BF71" s="28">
        <v>240</v>
      </c>
      <c r="BG71" s="28">
        <v>238</v>
      </c>
      <c r="BH71" s="28">
        <v>226</v>
      </c>
      <c r="BI71" s="28">
        <v>216</v>
      </c>
      <c r="BJ71" s="28">
        <v>219</v>
      </c>
      <c r="BK71" s="28">
        <v>224</v>
      </c>
      <c r="BL71" s="28">
        <v>221</v>
      </c>
      <c r="BM71" s="28">
        <v>220</v>
      </c>
      <c r="BN71" s="28">
        <v>224</v>
      </c>
      <c r="BO71" s="28">
        <v>221</v>
      </c>
      <c r="BP71" s="28">
        <v>219</v>
      </c>
      <c r="BQ71" s="28">
        <v>222</v>
      </c>
      <c r="BR71" s="28">
        <v>220</v>
      </c>
      <c r="BS71" s="28">
        <v>238</v>
      </c>
      <c r="BT71" s="28">
        <v>237</v>
      </c>
      <c r="BU71" s="28">
        <v>241</v>
      </c>
      <c r="BV71" s="28">
        <v>235</v>
      </c>
      <c r="BW71" s="28">
        <v>238</v>
      </c>
      <c r="BX71" s="28">
        <v>235</v>
      </c>
      <c r="BY71" s="28">
        <v>235</v>
      </c>
      <c r="BZ71" s="28">
        <v>230</v>
      </c>
      <c r="CA71" s="28">
        <v>238</v>
      </c>
      <c r="CB71" s="28">
        <v>237</v>
      </c>
      <c r="CC71" s="28">
        <v>233</v>
      </c>
    </row>
    <row r="72" spans="1:81" x14ac:dyDescent="0.25">
      <c r="A72" s="13" t="s">
        <v>279</v>
      </c>
      <c r="B72" s="14">
        <v>1</v>
      </c>
      <c r="C72" s="13" t="s">
        <v>280</v>
      </c>
      <c r="D72" s="15">
        <v>13947</v>
      </c>
      <c r="E72" s="16">
        <v>59.993918200000003</v>
      </c>
      <c r="F72" s="17">
        <v>0</v>
      </c>
      <c r="G72" s="13" t="s">
        <v>252</v>
      </c>
      <c r="H72" s="18">
        <v>232.47356429538891</v>
      </c>
      <c r="I72" s="16">
        <v>235.61011238602359</v>
      </c>
      <c r="J72" s="16">
        <v>179.34613984335911</v>
      </c>
      <c r="K72" s="16">
        <v>156.82219026464779</v>
      </c>
      <c r="L72" s="16">
        <v>158.59078868355601</v>
      </c>
      <c r="M72" s="16">
        <v>89.981868653466336</v>
      </c>
      <c r="N72" s="16">
        <v>43.170436884821271</v>
      </c>
      <c r="O72" s="16">
        <v>486.66536889234959</v>
      </c>
      <c r="P72" s="19">
        <v>4.3015643650964366</v>
      </c>
      <c r="Q72" s="19">
        <v>0.50074474727673779</v>
      </c>
      <c r="R72" s="16">
        <v>11.640991620161691</v>
      </c>
      <c r="S72" s="16">
        <v>4.3023089057794353E-2</v>
      </c>
      <c r="T72" s="16">
        <v>3.5850003585000359E-2</v>
      </c>
      <c r="U72" s="14"/>
      <c r="V72" s="20">
        <v>232</v>
      </c>
      <c r="W72" s="20">
        <v>232</v>
      </c>
      <c r="X72" s="20">
        <v>234</v>
      </c>
      <c r="Y72" s="20">
        <v>233</v>
      </c>
      <c r="Z72" s="20">
        <v>232</v>
      </c>
      <c r="AA72" s="20">
        <v>237</v>
      </c>
      <c r="AB72" s="20">
        <v>235</v>
      </c>
      <c r="AC72" s="20">
        <v>234</v>
      </c>
      <c r="AD72" s="20">
        <v>234</v>
      </c>
      <c r="AE72" s="20">
        <v>233</v>
      </c>
      <c r="AF72" s="20">
        <v>235</v>
      </c>
      <c r="AG72" s="20">
        <v>231</v>
      </c>
      <c r="AH72" s="20">
        <v>233</v>
      </c>
      <c r="AI72" s="20">
        <v>233</v>
      </c>
      <c r="AJ72" s="20">
        <v>231</v>
      </c>
      <c r="AK72" s="20">
        <v>231</v>
      </c>
      <c r="AL72" s="20">
        <v>233</v>
      </c>
      <c r="AM72" s="20">
        <v>233</v>
      </c>
      <c r="AN72" s="20">
        <v>233</v>
      </c>
      <c r="AO72" s="20">
        <v>235</v>
      </c>
      <c r="AP72" s="20">
        <v>234</v>
      </c>
      <c r="AQ72" s="20">
        <v>231</v>
      </c>
      <c r="AR72" s="20">
        <v>234</v>
      </c>
      <c r="AS72" s="20">
        <v>234</v>
      </c>
      <c r="AT72" s="20">
        <v>228</v>
      </c>
      <c r="AU72" s="20">
        <v>233</v>
      </c>
      <c r="AV72" s="20">
        <v>233</v>
      </c>
      <c r="AW72" s="20">
        <v>234</v>
      </c>
      <c r="AX72" s="20">
        <v>232</v>
      </c>
      <c r="AY72" s="20">
        <v>232</v>
      </c>
      <c r="AZ72" s="20">
        <v>234</v>
      </c>
      <c r="BA72" s="20">
        <v>231</v>
      </c>
      <c r="BB72" s="20">
        <v>232</v>
      </c>
      <c r="BC72" s="20">
        <v>233</v>
      </c>
      <c r="BD72" s="20">
        <v>226</v>
      </c>
      <c r="BE72" s="20">
        <v>233</v>
      </c>
      <c r="BF72" s="20">
        <v>235</v>
      </c>
      <c r="BG72" s="20">
        <v>234</v>
      </c>
      <c r="BH72" s="20">
        <v>230</v>
      </c>
      <c r="BI72" s="20">
        <v>230</v>
      </c>
      <c r="BJ72" s="20">
        <v>230</v>
      </c>
      <c r="BK72" s="20">
        <v>231</v>
      </c>
      <c r="BL72" s="20">
        <v>233</v>
      </c>
      <c r="BM72" s="20">
        <v>232</v>
      </c>
      <c r="BN72" s="20">
        <v>231</v>
      </c>
      <c r="BO72" s="20">
        <v>231</v>
      </c>
      <c r="BP72" s="20">
        <v>234</v>
      </c>
      <c r="BQ72" s="20">
        <v>230</v>
      </c>
      <c r="BR72" s="20">
        <v>232</v>
      </c>
      <c r="BS72" s="20">
        <v>233</v>
      </c>
      <c r="BT72" s="20">
        <v>230</v>
      </c>
      <c r="BU72" s="20">
        <v>234</v>
      </c>
      <c r="BV72" s="20">
        <v>235</v>
      </c>
      <c r="BW72" s="20">
        <v>232</v>
      </c>
      <c r="BX72" s="20">
        <v>231</v>
      </c>
      <c r="BY72" s="20">
        <v>233</v>
      </c>
      <c r="BZ72" s="20">
        <v>230</v>
      </c>
      <c r="CA72" s="20">
        <v>232</v>
      </c>
      <c r="CB72" s="20">
        <v>234</v>
      </c>
      <c r="CC72" s="20">
        <v>232</v>
      </c>
    </row>
    <row r="73" spans="1:81" x14ac:dyDescent="0.25">
      <c r="A73" s="13" t="s">
        <v>279</v>
      </c>
      <c r="B73" s="14">
        <v>2</v>
      </c>
      <c r="C73" s="13" t="s">
        <v>280</v>
      </c>
      <c r="D73" s="15">
        <v>13885</v>
      </c>
      <c r="E73" s="16">
        <v>59.986890099999989</v>
      </c>
      <c r="F73" s="17">
        <v>0</v>
      </c>
      <c r="G73" s="13" t="s">
        <v>252</v>
      </c>
      <c r="H73" s="18">
        <v>231.4672418732373</v>
      </c>
      <c r="I73" s="16">
        <v>234.42811261926531</v>
      </c>
      <c r="J73" s="16">
        <v>179.51142733844151</v>
      </c>
      <c r="K73" s="16">
        <v>159.56317983887209</v>
      </c>
      <c r="L73" s="16">
        <v>157.60749826797661</v>
      </c>
      <c r="M73" s="16">
        <v>78.004337041139507</v>
      </c>
      <c r="N73" s="16">
        <v>43.187216583891157</v>
      </c>
      <c r="O73" s="16">
        <v>364.71060213720409</v>
      </c>
      <c r="P73" s="19">
        <v>4.3202657616132507</v>
      </c>
      <c r="Q73" s="19">
        <v>0.50945287397193284</v>
      </c>
      <c r="R73" s="16">
        <v>11.79216516026773</v>
      </c>
      <c r="S73" s="16">
        <v>2.1607605877268801E-2</v>
      </c>
      <c r="T73" s="16">
        <v>2.16060496939143E-2</v>
      </c>
      <c r="U73" s="14"/>
      <c r="V73" s="20">
        <v>227</v>
      </c>
      <c r="W73" s="20">
        <v>231</v>
      </c>
      <c r="X73" s="20">
        <v>234</v>
      </c>
      <c r="Y73" s="20">
        <v>232</v>
      </c>
      <c r="Z73" s="20">
        <v>235</v>
      </c>
      <c r="AA73" s="20">
        <v>231</v>
      </c>
      <c r="AB73" s="20">
        <v>238</v>
      </c>
      <c r="AC73" s="20">
        <v>231</v>
      </c>
      <c r="AD73" s="20">
        <v>235</v>
      </c>
      <c r="AE73" s="20">
        <v>232</v>
      </c>
      <c r="AF73" s="20">
        <v>228</v>
      </c>
      <c r="AG73" s="20">
        <v>231</v>
      </c>
      <c r="AH73" s="20">
        <v>228</v>
      </c>
      <c r="AI73" s="20">
        <v>231</v>
      </c>
      <c r="AJ73" s="20">
        <v>231</v>
      </c>
      <c r="AK73" s="20">
        <v>229</v>
      </c>
      <c r="AL73" s="20">
        <v>232</v>
      </c>
      <c r="AM73" s="20">
        <v>231</v>
      </c>
      <c r="AN73" s="20">
        <v>231</v>
      </c>
      <c r="AO73" s="20">
        <v>233</v>
      </c>
      <c r="AP73" s="20">
        <v>229</v>
      </c>
      <c r="AQ73" s="20">
        <v>232</v>
      </c>
      <c r="AR73" s="20">
        <v>233</v>
      </c>
      <c r="AS73" s="20">
        <v>230</v>
      </c>
      <c r="AT73" s="20">
        <v>231</v>
      </c>
      <c r="AU73" s="20">
        <v>232</v>
      </c>
      <c r="AV73" s="20">
        <v>230</v>
      </c>
      <c r="AW73" s="20">
        <v>231</v>
      </c>
      <c r="AX73" s="20">
        <v>232</v>
      </c>
      <c r="AY73" s="20">
        <v>232</v>
      </c>
      <c r="AZ73" s="20">
        <v>227</v>
      </c>
      <c r="BA73" s="20">
        <v>228</v>
      </c>
      <c r="BB73" s="20">
        <v>232</v>
      </c>
      <c r="BC73" s="20">
        <v>231</v>
      </c>
      <c r="BD73" s="20">
        <v>231</v>
      </c>
      <c r="BE73" s="20">
        <v>231</v>
      </c>
      <c r="BF73" s="20">
        <v>232</v>
      </c>
      <c r="BG73" s="20">
        <v>234</v>
      </c>
      <c r="BH73" s="20">
        <v>232</v>
      </c>
      <c r="BI73" s="20">
        <v>232</v>
      </c>
      <c r="BJ73" s="20">
        <v>226</v>
      </c>
      <c r="BK73" s="20">
        <v>232</v>
      </c>
      <c r="BL73" s="20">
        <v>230</v>
      </c>
      <c r="BM73" s="20">
        <v>233</v>
      </c>
      <c r="BN73" s="20">
        <v>232</v>
      </c>
      <c r="BO73" s="20">
        <v>231</v>
      </c>
      <c r="BP73" s="20">
        <v>233</v>
      </c>
      <c r="BQ73" s="20">
        <v>231</v>
      </c>
      <c r="BR73" s="20">
        <v>230</v>
      </c>
      <c r="BS73" s="20">
        <v>234</v>
      </c>
      <c r="BT73" s="20">
        <v>230</v>
      </c>
      <c r="BU73" s="20">
        <v>233</v>
      </c>
      <c r="BV73" s="20">
        <v>234</v>
      </c>
      <c r="BW73" s="20">
        <v>232</v>
      </c>
      <c r="BX73" s="20">
        <v>233</v>
      </c>
      <c r="BY73" s="20">
        <v>231</v>
      </c>
      <c r="BZ73" s="20">
        <v>231</v>
      </c>
      <c r="CA73" s="20">
        <v>232</v>
      </c>
      <c r="CB73" s="20">
        <v>234</v>
      </c>
      <c r="CC73" s="20">
        <v>230</v>
      </c>
    </row>
    <row r="74" spans="1:81" x14ac:dyDescent="0.25">
      <c r="A74" s="13" t="s">
        <v>279</v>
      </c>
      <c r="B74" s="14">
        <v>3</v>
      </c>
      <c r="C74" s="13" t="s">
        <v>280</v>
      </c>
      <c r="D74" s="15">
        <v>13861</v>
      </c>
      <c r="E74" s="16">
        <v>60.0027987</v>
      </c>
      <c r="F74" s="17">
        <v>0</v>
      </c>
      <c r="G74" s="13" t="s">
        <v>252</v>
      </c>
      <c r="H74" s="18">
        <v>231.00589139686249</v>
      </c>
      <c r="I74" s="16">
        <v>234.25787106446779</v>
      </c>
      <c r="J74" s="16">
        <v>178.25375491534729</v>
      </c>
      <c r="K74" s="16">
        <v>158.64484305900041</v>
      </c>
      <c r="L74" s="16">
        <v>156.58443374154669</v>
      </c>
      <c r="M74" s="16">
        <v>78.5026714459093</v>
      </c>
      <c r="N74" s="16">
        <v>37.410448738332619</v>
      </c>
      <c r="O74" s="16">
        <v>396.69946048873368</v>
      </c>
      <c r="P74" s="19">
        <v>4.3288939254022072</v>
      </c>
      <c r="Q74" s="19">
        <v>0.51481561358742767</v>
      </c>
      <c r="R74" s="16">
        <v>11.89254397217865</v>
      </c>
      <c r="S74" s="16">
        <v>2.886002886002886E-2</v>
      </c>
      <c r="T74" s="16">
        <v>3.607243344636029E-2</v>
      </c>
      <c r="U74" s="14"/>
      <c r="V74" s="20">
        <v>233</v>
      </c>
      <c r="W74" s="20">
        <v>234</v>
      </c>
      <c r="X74" s="20">
        <v>234</v>
      </c>
      <c r="Y74" s="20">
        <v>231</v>
      </c>
      <c r="Z74" s="20">
        <v>232</v>
      </c>
      <c r="AA74" s="20">
        <v>232</v>
      </c>
      <c r="AB74" s="20">
        <v>231</v>
      </c>
      <c r="AC74" s="20">
        <v>234</v>
      </c>
      <c r="AD74" s="20">
        <v>232</v>
      </c>
      <c r="AE74" s="20">
        <v>230</v>
      </c>
      <c r="AF74" s="20">
        <v>228</v>
      </c>
      <c r="AG74" s="20">
        <v>226</v>
      </c>
      <c r="AH74" s="20">
        <v>231</v>
      </c>
      <c r="AI74" s="20">
        <v>229</v>
      </c>
      <c r="AJ74" s="20">
        <v>229</v>
      </c>
      <c r="AK74" s="20">
        <v>231</v>
      </c>
      <c r="AL74" s="20">
        <v>228</v>
      </c>
      <c r="AM74" s="20">
        <v>231</v>
      </c>
      <c r="AN74" s="20">
        <v>230</v>
      </c>
      <c r="AO74" s="20">
        <v>231</v>
      </c>
      <c r="AP74" s="20">
        <v>232</v>
      </c>
      <c r="AQ74" s="20">
        <v>231</v>
      </c>
      <c r="AR74" s="20">
        <v>232</v>
      </c>
      <c r="AS74" s="20">
        <v>232</v>
      </c>
      <c r="AT74" s="20">
        <v>231</v>
      </c>
      <c r="AU74" s="20">
        <v>229</v>
      </c>
      <c r="AV74" s="20">
        <v>228</v>
      </c>
      <c r="AW74" s="20">
        <v>227</v>
      </c>
      <c r="AX74" s="20">
        <v>231</v>
      </c>
      <c r="AY74" s="20">
        <v>227</v>
      </c>
      <c r="AZ74" s="20">
        <v>232</v>
      </c>
      <c r="BA74" s="20">
        <v>231</v>
      </c>
      <c r="BB74" s="20">
        <v>231</v>
      </c>
      <c r="BC74" s="20">
        <v>232</v>
      </c>
      <c r="BD74" s="20">
        <v>229</v>
      </c>
      <c r="BE74" s="20">
        <v>233</v>
      </c>
      <c r="BF74" s="20">
        <v>229</v>
      </c>
      <c r="BG74" s="20">
        <v>232</v>
      </c>
      <c r="BH74" s="20">
        <v>234</v>
      </c>
      <c r="BI74" s="20">
        <v>233</v>
      </c>
      <c r="BJ74" s="20">
        <v>232</v>
      </c>
      <c r="BK74" s="20">
        <v>230</v>
      </c>
      <c r="BL74" s="20">
        <v>231</v>
      </c>
      <c r="BM74" s="20">
        <v>232</v>
      </c>
      <c r="BN74" s="20">
        <v>232</v>
      </c>
      <c r="BO74" s="20">
        <v>230</v>
      </c>
      <c r="BP74" s="20">
        <v>228</v>
      </c>
      <c r="BQ74" s="20">
        <v>234</v>
      </c>
      <c r="BR74" s="20">
        <v>232</v>
      </c>
      <c r="BS74" s="20">
        <v>233</v>
      </c>
      <c r="BT74" s="20">
        <v>233</v>
      </c>
      <c r="BU74" s="20">
        <v>230</v>
      </c>
      <c r="BV74" s="20">
        <v>231</v>
      </c>
      <c r="BW74" s="20">
        <v>234</v>
      </c>
      <c r="BX74" s="20">
        <v>234</v>
      </c>
      <c r="BY74" s="20">
        <v>226</v>
      </c>
      <c r="BZ74" s="20">
        <v>230</v>
      </c>
      <c r="CA74" s="20">
        <v>233</v>
      </c>
      <c r="CB74" s="20">
        <v>230</v>
      </c>
      <c r="CC74" s="20">
        <v>232</v>
      </c>
    </row>
    <row r="75" spans="1:81" x14ac:dyDescent="0.25">
      <c r="A75" s="13" t="s">
        <v>279</v>
      </c>
      <c r="B75" s="14">
        <v>4</v>
      </c>
      <c r="C75" s="13" t="s">
        <v>280</v>
      </c>
      <c r="D75" s="15">
        <v>13849</v>
      </c>
      <c r="E75" s="16">
        <v>59.991658200000003</v>
      </c>
      <c r="F75" s="17">
        <v>0</v>
      </c>
      <c r="G75" s="13" t="s">
        <v>252</v>
      </c>
      <c r="H75" s="18">
        <v>230.84876156998769</v>
      </c>
      <c r="I75" s="16">
        <v>234.05500292568749</v>
      </c>
      <c r="J75" s="16">
        <v>178.33882379125509</v>
      </c>
      <c r="K75" s="16">
        <v>159.32761198500299</v>
      </c>
      <c r="L75" s="16">
        <v>158.70536101749971</v>
      </c>
      <c r="M75" s="16">
        <v>92.884001814334169</v>
      </c>
      <c r="N75" s="16">
        <v>45.007538762742762</v>
      </c>
      <c r="O75" s="16">
        <v>401.89695362109148</v>
      </c>
      <c r="P75" s="19">
        <v>4.3318404361325733</v>
      </c>
      <c r="Q75" s="19">
        <v>0.49998565962073749</v>
      </c>
      <c r="R75" s="16">
        <v>11.54210703262007</v>
      </c>
      <c r="S75" s="16">
        <v>2.1663778162911609E-2</v>
      </c>
      <c r="T75" s="16">
        <v>2.1662213878258361E-2</v>
      </c>
      <c r="U75" s="14"/>
      <c r="V75" s="20">
        <v>231</v>
      </c>
      <c r="W75" s="20">
        <v>226</v>
      </c>
      <c r="X75" s="20">
        <v>229</v>
      </c>
      <c r="Y75" s="20">
        <v>230</v>
      </c>
      <c r="Z75" s="20">
        <v>230</v>
      </c>
      <c r="AA75" s="20">
        <v>231</v>
      </c>
      <c r="AB75" s="20">
        <v>231</v>
      </c>
      <c r="AC75" s="20">
        <v>228</v>
      </c>
      <c r="AD75" s="20">
        <v>235</v>
      </c>
      <c r="AE75" s="20">
        <v>232</v>
      </c>
      <c r="AF75" s="20">
        <v>230</v>
      </c>
      <c r="AG75" s="20">
        <v>228</v>
      </c>
      <c r="AH75" s="20">
        <v>231</v>
      </c>
      <c r="AI75" s="20">
        <v>232</v>
      </c>
      <c r="AJ75" s="20">
        <v>232</v>
      </c>
      <c r="AK75" s="20">
        <v>230</v>
      </c>
      <c r="AL75" s="20">
        <v>232</v>
      </c>
      <c r="AM75" s="20">
        <v>231</v>
      </c>
      <c r="AN75" s="20">
        <v>231</v>
      </c>
      <c r="AO75" s="20">
        <v>233</v>
      </c>
      <c r="AP75" s="20">
        <v>230</v>
      </c>
      <c r="AQ75" s="20">
        <v>228</v>
      </c>
      <c r="AR75" s="20">
        <v>232</v>
      </c>
      <c r="AS75" s="20">
        <v>234</v>
      </c>
      <c r="AT75" s="20">
        <v>235</v>
      </c>
      <c r="AU75" s="20">
        <v>230</v>
      </c>
      <c r="AV75" s="20">
        <v>229</v>
      </c>
      <c r="AW75" s="20">
        <v>232</v>
      </c>
      <c r="AX75" s="20">
        <v>231</v>
      </c>
      <c r="AY75" s="20">
        <v>232</v>
      </c>
      <c r="AZ75" s="20">
        <v>229</v>
      </c>
      <c r="BA75" s="20">
        <v>229</v>
      </c>
      <c r="BB75" s="20">
        <v>234</v>
      </c>
      <c r="BC75" s="20">
        <v>232</v>
      </c>
      <c r="BD75" s="20">
        <v>231</v>
      </c>
      <c r="BE75" s="20">
        <v>229</v>
      </c>
      <c r="BF75" s="20">
        <v>232</v>
      </c>
      <c r="BG75" s="20">
        <v>231</v>
      </c>
      <c r="BH75" s="20">
        <v>232</v>
      </c>
      <c r="BI75" s="20">
        <v>235</v>
      </c>
      <c r="BJ75" s="20">
        <v>231</v>
      </c>
      <c r="BK75" s="20">
        <v>223</v>
      </c>
      <c r="BL75" s="20">
        <v>230</v>
      </c>
      <c r="BM75" s="20">
        <v>231</v>
      </c>
      <c r="BN75" s="20">
        <v>234</v>
      </c>
      <c r="BO75" s="20">
        <v>232</v>
      </c>
      <c r="BP75" s="20">
        <v>233</v>
      </c>
      <c r="BQ75" s="20">
        <v>230</v>
      </c>
      <c r="BR75" s="20">
        <v>233</v>
      </c>
      <c r="BS75" s="20">
        <v>231</v>
      </c>
      <c r="BT75" s="20">
        <v>230</v>
      </c>
      <c r="BU75" s="20">
        <v>228</v>
      </c>
      <c r="BV75" s="20">
        <v>231</v>
      </c>
      <c r="BW75" s="20">
        <v>232</v>
      </c>
      <c r="BX75" s="20">
        <v>231</v>
      </c>
      <c r="BY75" s="20">
        <v>231</v>
      </c>
      <c r="BZ75" s="20">
        <v>227</v>
      </c>
      <c r="CA75" s="20">
        <v>229</v>
      </c>
      <c r="CB75" s="20">
        <v>232</v>
      </c>
      <c r="CC75" s="20">
        <v>230</v>
      </c>
    </row>
    <row r="76" spans="1:81" x14ac:dyDescent="0.25">
      <c r="A76" s="13" t="s">
        <v>279</v>
      </c>
      <c r="B76" s="14">
        <v>5</v>
      </c>
      <c r="C76" s="13" t="s">
        <v>280</v>
      </c>
      <c r="D76" s="15">
        <v>13835</v>
      </c>
      <c r="E76" s="16">
        <v>59.994862099999999</v>
      </c>
      <c r="F76" s="17">
        <v>0</v>
      </c>
      <c r="G76" s="13" t="s">
        <v>252</v>
      </c>
      <c r="H76" s="18">
        <v>230.60308025943439</v>
      </c>
      <c r="I76" s="16">
        <v>233.24703193151871</v>
      </c>
      <c r="J76" s="16">
        <v>178.17492572778221</v>
      </c>
      <c r="K76" s="16">
        <v>158.64507964030571</v>
      </c>
      <c r="L76" s="16">
        <v>159.09417082272569</v>
      </c>
      <c r="M76" s="16">
        <v>91.077307936932002</v>
      </c>
      <c r="N76" s="16">
        <v>42.435095521400022</v>
      </c>
      <c r="O76" s="16">
        <v>399.36102236421732</v>
      </c>
      <c r="P76" s="19">
        <v>4.3364555186122153</v>
      </c>
      <c r="Q76" s="19">
        <v>0.50743898937449783</v>
      </c>
      <c r="R76" s="16">
        <v>11.70169939934936</v>
      </c>
      <c r="S76" s="16">
        <v>2.1685701893884631E-2</v>
      </c>
      <c r="T76" s="16">
        <v>2.168413444163354E-2</v>
      </c>
      <c r="U76" s="14"/>
      <c r="V76" s="20">
        <v>233</v>
      </c>
      <c r="W76" s="20">
        <v>229</v>
      </c>
      <c r="X76" s="20">
        <v>229</v>
      </c>
      <c r="Y76" s="20">
        <v>231</v>
      </c>
      <c r="Z76" s="20">
        <v>231</v>
      </c>
      <c r="AA76" s="20">
        <v>228</v>
      </c>
      <c r="AB76" s="20">
        <v>230</v>
      </c>
      <c r="AC76" s="20">
        <v>228</v>
      </c>
      <c r="AD76" s="20">
        <v>231</v>
      </c>
      <c r="AE76" s="20">
        <v>230</v>
      </c>
      <c r="AF76" s="20">
        <v>228</v>
      </c>
      <c r="AG76" s="20">
        <v>230</v>
      </c>
      <c r="AH76" s="20">
        <v>231</v>
      </c>
      <c r="AI76" s="20">
        <v>232</v>
      </c>
      <c r="AJ76" s="20">
        <v>232</v>
      </c>
      <c r="AK76" s="20">
        <v>232</v>
      </c>
      <c r="AL76" s="20">
        <v>230</v>
      </c>
      <c r="AM76" s="20">
        <v>227</v>
      </c>
      <c r="AN76" s="20">
        <v>232</v>
      </c>
      <c r="AO76" s="20">
        <v>232</v>
      </c>
      <c r="AP76" s="20">
        <v>232</v>
      </c>
      <c r="AQ76" s="20">
        <v>232</v>
      </c>
      <c r="AR76" s="20">
        <v>230</v>
      </c>
      <c r="AS76" s="20">
        <v>232</v>
      </c>
      <c r="AT76" s="20">
        <v>234</v>
      </c>
      <c r="AU76" s="20">
        <v>232</v>
      </c>
      <c r="AV76" s="20">
        <v>230</v>
      </c>
      <c r="AW76" s="20">
        <v>231</v>
      </c>
      <c r="AX76" s="20">
        <v>225</v>
      </c>
      <c r="AY76" s="20">
        <v>233</v>
      </c>
      <c r="AZ76" s="20">
        <v>234</v>
      </c>
      <c r="BA76" s="20">
        <v>231</v>
      </c>
      <c r="BB76" s="20">
        <v>232</v>
      </c>
      <c r="BC76" s="20">
        <v>229</v>
      </c>
      <c r="BD76" s="20">
        <v>232</v>
      </c>
      <c r="BE76" s="20">
        <v>233</v>
      </c>
      <c r="BF76" s="20">
        <v>232</v>
      </c>
      <c r="BG76" s="20">
        <v>229</v>
      </c>
      <c r="BH76" s="20">
        <v>233</v>
      </c>
      <c r="BI76" s="20">
        <v>232</v>
      </c>
      <c r="BJ76" s="20">
        <v>232</v>
      </c>
      <c r="BK76" s="20">
        <v>230</v>
      </c>
      <c r="BL76" s="20">
        <v>231</v>
      </c>
      <c r="BM76" s="20">
        <v>232</v>
      </c>
      <c r="BN76" s="20">
        <v>232</v>
      </c>
      <c r="BO76" s="20">
        <v>228</v>
      </c>
      <c r="BP76" s="20">
        <v>230</v>
      </c>
      <c r="BQ76" s="20">
        <v>224</v>
      </c>
      <c r="BR76" s="20">
        <v>235</v>
      </c>
      <c r="BS76" s="20">
        <v>233</v>
      </c>
      <c r="BT76" s="20">
        <v>230</v>
      </c>
      <c r="BU76" s="20">
        <v>229</v>
      </c>
      <c r="BV76" s="20">
        <v>232</v>
      </c>
      <c r="BW76" s="20">
        <v>231</v>
      </c>
      <c r="BX76" s="20">
        <v>228</v>
      </c>
      <c r="BY76" s="20">
        <v>231</v>
      </c>
      <c r="BZ76" s="20">
        <v>230</v>
      </c>
      <c r="CA76" s="20">
        <v>226</v>
      </c>
      <c r="CB76" s="20">
        <v>229</v>
      </c>
      <c r="CC76" s="20">
        <v>228</v>
      </c>
    </row>
    <row r="77" spans="1:81" x14ac:dyDescent="0.25">
      <c r="A77" s="21" t="s">
        <v>281</v>
      </c>
      <c r="B77" s="22">
        <v>1</v>
      </c>
      <c r="C77" s="21" t="s">
        <v>282</v>
      </c>
      <c r="D77" s="23">
        <v>14316</v>
      </c>
      <c r="E77" s="24">
        <v>60.006520600000002</v>
      </c>
      <c r="F77" s="25">
        <v>0</v>
      </c>
      <c r="G77" s="21" t="s">
        <v>252</v>
      </c>
      <c r="H77" s="26">
        <v>238.5740725650405</v>
      </c>
      <c r="I77" s="24">
        <v>242.52419178813079</v>
      </c>
      <c r="J77" s="24">
        <v>188.2911168958326</v>
      </c>
      <c r="K77" s="24">
        <v>161.22151739757479</v>
      </c>
      <c r="L77" s="24">
        <v>164.53896182895531</v>
      </c>
      <c r="M77" s="24">
        <v>82.922590103686417</v>
      </c>
      <c r="N77" s="24">
        <v>39.48698508971443</v>
      </c>
      <c r="O77" s="24">
        <v>370.02775208140611</v>
      </c>
      <c r="P77" s="27">
        <v>4.1915703129365749</v>
      </c>
      <c r="Q77" s="27">
        <v>0.42434219597663508</v>
      </c>
      <c r="R77" s="24">
        <v>10.12370458553384</v>
      </c>
      <c r="S77" s="24">
        <v>1.3971358714635E-2</v>
      </c>
      <c r="T77" s="24">
        <v>2.0955574182732611E-2</v>
      </c>
      <c r="U77" s="22"/>
      <c r="V77" s="28">
        <v>241</v>
      </c>
      <c r="W77" s="28">
        <v>231</v>
      </c>
      <c r="X77" s="28">
        <v>242</v>
      </c>
      <c r="Y77" s="28">
        <v>241</v>
      </c>
      <c r="Z77" s="28">
        <v>236</v>
      </c>
      <c r="AA77" s="28">
        <v>236</v>
      </c>
      <c r="AB77" s="28">
        <v>234</v>
      </c>
      <c r="AC77" s="28">
        <v>240</v>
      </c>
      <c r="AD77" s="28">
        <v>239</v>
      </c>
      <c r="AE77" s="28">
        <v>229</v>
      </c>
      <c r="AF77" s="28">
        <v>238</v>
      </c>
      <c r="AG77" s="28">
        <v>234</v>
      </c>
      <c r="AH77" s="28">
        <v>238</v>
      </c>
      <c r="AI77" s="28">
        <v>239</v>
      </c>
      <c r="AJ77" s="28">
        <v>240</v>
      </c>
      <c r="AK77" s="28">
        <v>238</v>
      </c>
      <c r="AL77" s="28">
        <v>241</v>
      </c>
      <c r="AM77" s="28">
        <v>237</v>
      </c>
      <c r="AN77" s="28">
        <v>239</v>
      </c>
      <c r="AO77" s="28">
        <v>240</v>
      </c>
      <c r="AP77" s="28">
        <v>240</v>
      </c>
      <c r="AQ77" s="28">
        <v>237</v>
      </c>
      <c r="AR77" s="28">
        <v>231</v>
      </c>
      <c r="AS77" s="28">
        <v>240</v>
      </c>
      <c r="AT77" s="28">
        <v>241</v>
      </c>
      <c r="AU77" s="28">
        <v>239</v>
      </c>
      <c r="AV77" s="28">
        <v>240</v>
      </c>
      <c r="AW77" s="28">
        <v>241</v>
      </c>
      <c r="AX77" s="28">
        <v>237</v>
      </c>
      <c r="AY77" s="28">
        <v>240</v>
      </c>
      <c r="AZ77" s="28">
        <v>243</v>
      </c>
      <c r="BA77" s="28">
        <v>237</v>
      </c>
      <c r="BB77" s="28">
        <v>239</v>
      </c>
      <c r="BC77" s="28">
        <v>239</v>
      </c>
      <c r="BD77" s="28">
        <v>239</v>
      </c>
      <c r="BE77" s="28">
        <v>239</v>
      </c>
      <c r="BF77" s="28">
        <v>241</v>
      </c>
      <c r="BG77" s="28">
        <v>240</v>
      </c>
      <c r="BH77" s="28">
        <v>241</v>
      </c>
      <c r="BI77" s="28">
        <v>242</v>
      </c>
      <c r="BJ77" s="28">
        <v>243</v>
      </c>
      <c r="BK77" s="28">
        <v>238</v>
      </c>
      <c r="BL77" s="28">
        <v>238</v>
      </c>
      <c r="BM77" s="28">
        <v>241</v>
      </c>
      <c r="BN77" s="28">
        <v>239</v>
      </c>
      <c r="BO77" s="28">
        <v>232</v>
      </c>
      <c r="BP77" s="28">
        <v>239</v>
      </c>
      <c r="BQ77" s="28">
        <v>239</v>
      </c>
      <c r="BR77" s="28">
        <v>240</v>
      </c>
      <c r="BS77" s="28">
        <v>238</v>
      </c>
      <c r="BT77" s="28">
        <v>240</v>
      </c>
      <c r="BU77" s="28">
        <v>235</v>
      </c>
      <c r="BV77" s="28">
        <v>239</v>
      </c>
      <c r="BW77" s="28">
        <v>240</v>
      </c>
      <c r="BX77" s="28">
        <v>239</v>
      </c>
      <c r="BY77" s="28">
        <v>240</v>
      </c>
      <c r="BZ77" s="28">
        <v>236</v>
      </c>
      <c r="CA77" s="28">
        <v>241</v>
      </c>
      <c r="CB77" s="28">
        <v>238</v>
      </c>
      <c r="CC77" s="28">
        <v>240</v>
      </c>
    </row>
    <row r="78" spans="1:81" x14ac:dyDescent="0.25">
      <c r="A78" s="21" t="s">
        <v>281</v>
      </c>
      <c r="B78" s="22">
        <v>2</v>
      </c>
      <c r="C78" s="21" t="s">
        <v>282</v>
      </c>
      <c r="D78" s="23">
        <v>13898</v>
      </c>
      <c r="E78" s="24">
        <v>60.009211100000002</v>
      </c>
      <c r="F78" s="25">
        <v>0</v>
      </c>
      <c r="G78" s="21" t="s">
        <v>252</v>
      </c>
      <c r="H78" s="26">
        <v>231.5977788283239</v>
      </c>
      <c r="I78" s="24">
        <v>235.29688584571579</v>
      </c>
      <c r="J78" s="24">
        <v>179.79124797779789</v>
      </c>
      <c r="K78" s="24">
        <v>154.94617634672201</v>
      </c>
      <c r="L78" s="24">
        <v>156.44019341333529</v>
      </c>
      <c r="M78" s="24">
        <v>80.122041894213268</v>
      </c>
      <c r="N78" s="24">
        <v>41.620883694602597</v>
      </c>
      <c r="O78" s="24">
        <v>406.37191157347212</v>
      </c>
      <c r="P78" s="27">
        <v>4.3178307022593181</v>
      </c>
      <c r="Q78" s="27">
        <v>0.47953329563804392</v>
      </c>
      <c r="R78" s="24">
        <v>11.105884614399701</v>
      </c>
      <c r="S78" s="24">
        <v>2.1587392962509899E-2</v>
      </c>
      <c r="T78" s="24">
        <v>2.8781119585551879E-2</v>
      </c>
      <c r="U78" s="22"/>
      <c r="V78" s="28">
        <v>236</v>
      </c>
      <c r="W78" s="28">
        <v>240</v>
      </c>
      <c r="X78" s="28">
        <v>237</v>
      </c>
      <c r="Y78" s="28">
        <v>239</v>
      </c>
      <c r="Z78" s="28">
        <v>239</v>
      </c>
      <c r="AA78" s="28">
        <v>241</v>
      </c>
      <c r="AB78" s="28">
        <v>240</v>
      </c>
      <c r="AC78" s="28">
        <v>235</v>
      </c>
      <c r="AD78" s="28">
        <v>236</v>
      </c>
      <c r="AE78" s="28">
        <v>234</v>
      </c>
      <c r="AF78" s="28">
        <v>240</v>
      </c>
      <c r="AG78" s="28">
        <v>239</v>
      </c>
      <c r="AH78" s="28">
        <v>239</v>
      </c>
      <c r="AI78" s="28">
        <v>240</v>
      </c>
      <c r="AJ78" s="28">
        <v>242</v>
      </c>
      <c r="AK78" s="28">
        <v>240</v>
      </c>
      <c r="AL78" s="28">
        <v>243</v>
      </c>
      <c r="AM78" s="28">
        <v>236</v>
      </c>
      <c r="AN78" s="28">
        <v>239</v>
      </c>
      <c r="AO78" s="28">
        <v>239</v>
      </c>
      <c r="AP78" s="28">
        <v>240</v>
      </c>
      <c r="AQ78" s="28">
        <v>240</v>
      </c>
      <c r="AR78" s="28">
        <v>238</v>
      </c>
      <c r="AS78" s="28">
        <v>233</v>
      </c>
      <c r="AT78" s="28">
        <v>230</v>
      </c>
      <c r="AU78" s="28">
        <v>232</v>
      </c>
      <c r="AV78" s="28">
        <v>231</v>
      </c>
      <c r="AW78" s="28">
        <v>227</v>
      </c>
      <c r="AX78" s="28">
        <v>231</v>
      </c>
      <c r="AY78" s="28">
        <v>229</v>
      </c>
      <c r="AZ78" s="28">
        <v>230</v>
      </c>
      <c r="BA78" s="28">
        <v>231</v>
      </c>
      <c r="BB78" s="28">
        <v>223</v>
      </c>
      <c r="BC78" s="28">
        <v>231</v>
      </c>
      <c r="BD78" s="28">
        <v>230</v>
      </c>
      <c r="BE78" s="28">
        <v>228</v>
      </c>
      <c r="BF78" s="28">
        <v>230</v>
      </c>
      <c r="BG78" s="28">
        <v>225</v>
      </c>
      <c r="BH78" s="28">
        <v>229</v>
      </c>
      <c r="BI78" s="28">
        <v>231</v>
      </c>
      <c r="BJ78" s="28">
        <v>228</v>
      </c>
      <c r="BK78" s="28">
        <v>231</v>
      </c>
      <c r="BL78" s="28">
        <v>230</v>
      </c>
      <c r="BM78" s="28">
        <v>229</v>
      </c>
      <c r="BN78" s="28">
        <v>230</v>
      </c>
      <c r="BO78" s="28">
        <v>231</v>
      </c>
      <c r="BP78" s="28">
        <v>223</v>
      </c>
      <c r="BQ78" s="28">
        <v>215</v>
      </c>
      <c r="BR78" s="28">
        <v>220</v>
      </c>
      <c r="BS78" s="28">
        <v>220</v>
      </c>
      <c r="BT78" s="28">
        <v>217</v>
      </c>
      <c r="BU78" s="28">
        <v>213</v>
      </c>
      <c r="BV78" s="28">
        <v>220</v>
      </c>
      <c r="BW78" s="28">
        <v>222</v>
      </c>
      <c r="BX78" s="28">
        <v>230</v>
      </c>
      <c r="BY78" s="28">
        <v>229</v>
      </c>
      <c r="BZ78" s="28">
        <v>228</v>
      </c>
      <c r="CA78" s="28">
        <v>227</v>
      </c>
      <c r="CB78" s="28">
        <v>230</v>
      </c>
      <c r="CC78" s="28">
        <v>230</v>
      </c>
    </row>
    <row r="79" spans="1:81" x14ac:dyDescent="0.25">
      <c r="A79" s="21" t="s">
        <v>281</v>
      </c>
      <c r="B79" s="22">
        <v>3</v>
      </c>
      <c r="C79" s="21" t="s">
        <v>282</v>
      </c>
      <c r="D79" s="23">
        <v>13689</v>
      </c>
      <c r="E79" s="24">
        <v>59.996670100000003</v>
      </c>
      <c r="F79" s="25">
        <v>0</v>
      </c>
      <c r="G79" s="21" t="s">
        <v>252</v>
      </c>
      <c r="H79" s="26">
        <v>228.16266264750581</v>
      </c>
      <c r="I79" s="24">
        <v>231.37971725398549</v>
      </c>
      <c r="J79" s="24">
        <v>176.44625940987899</v>
      </c>
      <c r="K79" s="24">
        <v>151.93168373608901</v>
      </c>
      <c r="L79" s="24">
        <v>153.9577827894071</v>
      </c>
      <c r="M79" s="24">
        <v>79.920846393731651</v>
      </c>
      <c r="N79" s="24">
        <v>44.652624904555019</v>
      </c>
      <c r="O79" s="24">
        <v>380.74931465123359</v>
      </c>
      <c r="P79" s="27">
        <v>4.3828380524508734</v>
      </c>
      <c r="Q79" s="27">
        <v>0.4864847494512064</v>
      </c>
      <c r="R79" s="24">
        <v>11.0997655772192</v>
      </c>
      <c r="S79" s="24">
        <v>3.6528345996493281E-2</v>
      </c>
      <c r="T79" s="24">
        <v>2.922054204105486E-2</v>
      </c>
      <c r="U79" s="22"/>
      <c r="V79" s="28">
        <v>229</v>
      </c>
      <c r="W79" s="28">
        <v>228</v>
      </c>
      <c r="X79" s="28">
        <v>230</v>
      </c>
      <c r="Y79" s="28">
        <v>231</v>
      </c>
      <c r="Z79" s="28">
        <v>228</v>
      </c>
      <c r="AA79" s="28">
        <v>228</v>
      </c>
      <c r="AB79" s="28">
        <v>231</v>
      </c>
      <c r="AC79" s="28">
        <v>230</v>
      </c>
      <c r="AD79" s="28">
        <v>230</v>
      </c>
      <c r="AE79" s="28">
        <v>231</v>
      </c>
      <c r="AF79" s="28">
        <v>231</v>
      </c>
      <c r="AG79" s="28">
        <v>230</v>
      </c>
      <c r="AH79" s="28">
        <v>224</v>
      </c>
      <c r="AI79" s="28">
        <v>231</v>
      </c>
      <c r="AJ79" s="28">
        <v>231</v>
      </c>
      <c r="AK79" s="28">
        <v>229</v>
      </c>
      <c r="AL79" s="28">
        <v>229</v>
      </c>
      <c r="AM79" s="28">
        <v>229</v>
      </c>
      <c r="AN79" s="28">
        <v>225</v>
      </c>
      <c r="AO79" s="28">
        <v>228</v>
      </c>
      <c r="AP79" s="28">
        <v>228</v>
      </c>
      <c r="AQ79" s="28">
        <v>230</v>
      </c>
      <c r="AR79" s="28">
        <v>226</v>
      </c>
      <c r="AS79" s="28">
        <v>230</v>
      </c>
      <c r="AT79" s="28">
        <v>228</v>
      </c>
      <c r="AU79" s="28">
        <v>231</v>
      </c>
      <c r="AV79" s="28">
        <v>228</v>
      </c>
      <c r="AW79" s="28">
        <v>228</v>
      </c>
      <c r="AX79" s="28">
        <v>228</v>
      </c>
      <c r="AY79" s="28">
        <v>228</v>
      </c>
      <c r="AZ79" s="28">
        <v>229</v>
      </c>
      <c r="BA79" s="28">
        <v>227</v>
      </c>
      <c r="BB79" s="28">
        <v>225</v>
      </c>
      <c r="BC79" s="28">
        <v>227</v>
      </c>
      <c r="BD79" s="28">
        <v>229</v>
      </c>
      <c r="BE79" s="28">
        <v>230</v>
      </c>
      <c r="BF79" s="28">
        <v>229</v>
      </c>
      <c r="BG79" s="28">
        <v>226</v>
      </c>
      <c r="BH79" s="28">
        <v>228</v>
      </c>
      <c r="BI79" s="28">
        <v>227</v>
      </c>
      <c r="BJ79" s="28">
        <v>225</v>
      </c>
      <c r="BK79" s="28">
        <v>230</v>
      </c>
      <c r="BL79" s="28">
        <v>226</v>
      </c>
      <c r="BM79" s="28">
        <v>226</v>
      </c>
      <c r="BN79" s="28">
        <v>228</v>
      </c>
      <c r="BO79" s="28">
        <v>223</v>
      </c>
      <c r="BP79" s="28">
        <v>225</v>
      </c>
      <c r="BQ79" s="28">
        <v>228</v>
      </c>
      <c r="BR79" s="28">
        <v>226</v>
      </c>
      <c r="BS79" s="28">
        <v>230</v>
      </c>
      <c r="BT79" s="28">
        <v>226</v>
      </c>
      <c r="BU79" s="28">
        <v>229</v>
      </c>
      <c r="BV79" s="28">
        <v>226</v>
      </c>
      <c r="BW79" s="28">
        <v>226</v>
      </c>
      <c r="BX79" s="28">
        <v>231</v>
      </c>
      <c r="BY79" s="28">
        <v>227</v>
      </c>
      <c r="BZ79" s="28">
        <v>227</v>
      </c>
      <c r="CA79" s="28">
        <v>229</v>
      </c>
      <c r="CB79" s="28">
        <v>228</v>
      </c>
      <c r="CC79" s="28">
        <v>228</v>
      </c>
    </row>
    <row r="80" spans="1:81" x14ac:dyDescent="0.25">
      <c r="A80" s="21" t="s">
        <v>281</v>
      </c>
      <c r="B80" s="22">
        <v>4</v>
      </c>
      <c r="C80" s="21" t="s">
        <v>282</v>
      </c>
      <c r="D80" s="23">
        <v>13670</v>
      </c>
      <c r="E80" s="24">
        <v>59.996799799999998</v>
      </c>
      <c r="F80" s="25">
        <v>0</v>
      </c>
      <c r="G80" s="21" t="s">
        <v>252</v>
      </c>
      <c r="H80" s="26">
        <v>227.84548585206369</v>
      </c>
      <c r="I80" s="24">
        <v>231.20318135577551</v>
      </c>
      <c r="J80" s="24">
        <v>175.89552368758629</v>
      </c>
      <c r="K80" s="24">
        <v>157.5654052421493</v>
      </c>
      <c r="L80" s="24">
        <v>154.37391087545939</v>
      </c>
      <c r="M80" s="24">
        <v>82.407621056795321</v>
      </c>
      <c r="N80" s="24">
        <v>42.249355697325612</v>
      </c>
      <c r="O80" s="24">
        <v>356.37918745545261</v>
      </c>
      <c r="P80" s="27">
        <v>4.3889392684711046</v>
      </c>
      <c r="Q80" s="27">
        <v>0.48779614959072881</v>
      </c>
      <c r="R80" s="24">
        <v>11.11421507002655</v>
      </c>
      <c r="S80" s="24">
        <v>2.194747238276392E-2</v>
      </c>
      <c r="T80" s="24">
        <v>4.3891733723482082E-2</v>
      </c>
      <c r="U80" s="22"/>
      <c r="V80" s="28">
        <v>231</v>
      </c>
      <c r="W80" s="28">
        <v>231</v>
      </c>
      <c r="X80" s="28">
        <v>229</v>
      </c>
      <c r="Y80" s="28">
        <v>229</v>
      </c>
      <c r="Z80" s="28">
        <v>227</v>
      </c>
      <c r="AA80" s="28">
        <v>222</v>
      </c>
      <c r="AB80" s="28">
        <v>229</v>
      </c>
      <c r="AC80" s="28">
        <v>229</v>
      </c>
      <c r="AD80" s="28">
        <v>225</v>
      </c>
      <c r="AE80" s="28">
        <v>230</v>
      </c>
      <c r="AF80" s="28">
        <v>232</v>
      </c>
      <c r="AG80" s="28">
        <v>229</v>
      </c>
      <c r="AH80" s="28">
        <v>229</v>
      </c>
      <c r="AI80" s="28">
        <v>227</v>
      </c>
      <c r="AJ80" s="28">
        <v>230</v>
      </c>
      <c r="AK80" s="28">
        <v>229</v>
      </c>
      <c r="AL80" s="28">
        <v>218</v>
      </c>
      <c r="AM80" s="28">
        <v>227</v>
      </c>
      <c r="AN80" s="28">
        <v>223</v>
      </c>
      <c r="AO80" s="28">
        <v>228</v>
      </c>
      <c r="AP80" s="28">
        <v>229</v>
      </c>
      <c r="AQ80" s="28">
        <v>228</v>
      </c>
      <c r="AR80" s="28">
        <v>225</v>
      </c>
      <c r="AS80" s="28">
        <v>228</v>
      </c>
      <c r="AT80" s="28">
        <v>226</v>
      </c>
      <c r="AU80" s="28">
        <v>229</v>
      </c>
      <c r="AV80" s="28">
        <v>229</v>
      </c>
      <c r="AW80" s="28">
        <v>228</v>
      </c>
      <c r="AX80" s="28">
        <v>225</v>
      </c>
      <c r="AY80" s="28">
        <v>231</v>
      </c>
      <c r="AZ80" s="28">
        <v>230</v>
      </c>
      <c r="BA80" s="28">
        <v>229</v>
      </c>
      <c r="BB80" s="28">
        <v>227</v>
      </c>
      <c r="BC80" s="28">
        <v>230</v>
      </c>
      <c r="BD80" s="28">
        <v>228</v>
      </c>
      <c r="BE80" s="28">
        <v>229</v>
      </c>
      <c r="BF80" s="28">
        <v>230</v>
      </c>
      <c r="BG80" s="28">
        <v>228</v>
      </c>
      <c r="BH80" s="28">
        <v>225</v>
      </c>
      <c r="BI80" s="28">
        <v>226</v>
      </c>
      <c r="BJ80" s="28">
        <v>230</v>
      </c>
      <c r="BK80" s="28">
        <v>229</v>
      </c>
      <c r="BL80" s="28">
        <v>229</v>
      </c>
      <c r="BM80" s="28">
        <v>230</v>
      </c>
      <c r="BN80" s="28">
        <v>227</v>
      </c>
      <c r="BO80" s="28">
        <v>226</v>
      </c>
      <c r="BP80" s="28">
        <v>229</v>
      </c>
      <c r="BQ80" s="28">
        <v>230</v>
      </c>
      <c r="BR80" s="28">
        <v>223</v>
      </c>
      <c r="BS80" s="28">
        <v>228</v>
      </c>
      <c r="BT80" s="28">
        <v>228</v>
      </c>
      <c r="BU80" s="28">
        <v>227</v>
      </c>
      <c r="BV80" s="28">
        <v>231</v>
      </c>
      <c r="BW80" s="28">
        <v>230</v>
      </c>
      <c r="BX80" s="28">
        <v>219</v>
      </c>
      <c r="BY80" s="28">
        <v>228</v>
      </c>
      <c r="BZ80" s="28">
        <v>229</v>
      </c>
      <c r="CA80" s="28">
        <v>231</v>
      </c>
      <c r="CB80" s="28">
        <v>224</v>
      </c>
      <c r="CC80" s="28">
        <v>228</v>
      </c>
    </row>
    <row r="81" spans="1:81" x14ac:dyDescent="0.25">
      <c r="A81" s="21" t="s">
        <v>281</v>
      </c>
      <c r="B81" s="22">
        <v>5</v>
      </c>
      <c r="C81" s="21" t="s">
        <v>282</v>
      </c>
      <c r="D81" s="23">
        <v>13666</v>
      </c>
      <c r="E81" s="24">
        <v>59.996496100000002</v>
      </c>
      <c r="F81" s="25">
        <v>0</v>
      </c>
      <c r="G81" s="21" t="s">
        <v>252</v>
      </c>
      <c r="H81" s="26">
        <v>227.77996863720179</v>
      </c>
      <c r="I81" s="24">
        <v>231.41719892622419</v>
      </c>
      <c r="J81" s="24">
        <v>173.02744388287419</v>
      </c>
      <c r="K81" s="24">
        <v>154.34205486844601</v>
      </c>
      <c r="L81" s="24">
        <v>154.30552227939461</v>
      </c>
      <c r="M81" s="24">
        <v>89.726871403447902</v>
      </c>
      <c r="N81" s="24">
        <v>37.233270160884963</v>
      </c>
      <c r="O81" s="24">
        <v>428.65103519224999</v>
      </c>
      <c r="P81" s="27">
        <v>4.3902016756914977</v>
      </c>
      <c r="Q81" s="27">
        <v>0.50034670810608528</v>
      </c>
      <c r="R81" s="24">
        <v>11.396895748013129</v>
      </c>
      <c r="S81" s="24">
        <v>2.9271862422246619E-2</v>
      </c>
      <c r="T81" s="24">
        <v>1.463486023708474E-2</v>
      </c>
      <c r="U81" s="22"/>
      <c r="V81" s="28">
        <v>226</v>
      </c>
      <c r="W81" s="28">
        <v>229</v>
      </c>
      <c r="X81" s="28">
        <v>228</v>
      </c>
      <c r="Y81" s="28">
        <v>228</v>
      </c>
      <c r="Z81" s="28">
        <v>225</v>
      </c>
      <c r="AA81" s="28">
        <v>228</v>
      </c>
      <c r="AB81" s="28">
        <v>223</v>
      </c>
      <c r="AC81" s="28">
        <v>226</v>
      </c>
      <c r="AD81" s="28">
        <v>230</v>
      </c>
      <c r="AE81" s="28">
        <v>227</v>
      </c>
      <c r="AF81" s="28">
        <v>229</v>
      </c>
      <c r="AG81" s="28">
        <v>228</v>
      </c>
      <c r="AH81" s="28">
        <v>223</v>
      </c>
      <c r="AI81" s="28">
        <v>226</v>
      </c>
      <c r="AJ81" s="28">
        <v>226</v>
      </c>
      <c r="AK81" s="28">
        <v>228</v>
      </c>
      <c r="AL81" s="28">
        <v>225</v>
      </c>
      <c r="AM81" s="28">
        <v>230</v>
      </c>
      <c r="AN81" s="28">
        <v>231</v>
      </c>
      <c r="AO81" s="28">
        <v>227</v>
      </c>
      <c r="AP81" s="28">
        <v>227</v>
      </c>
      <c r="AQ81" s="28">
        <v>229</v>
      </c>
      <c r="AR81" s="28">
        <v>227</v>
      </c>
      <c r="AS81" s="28">
        <v>226</v>
      </c>
      <c r="AT81" s="28">
        <v>228</v>
      </c>
      <c r="AU81" s="28">
        <v>232</v>
      </c>
      <c r="AV81" s="28">
        <v>229</v>
      </c>
      <c r="AW81" s="28">
        <v>227</v>
      </c>
      <c r="AX81" s="28">
        <v>227</v>
      </c>
      <c r="AY81" s="28">
        <v>229</v>
      </c>
      <c r="AZ81" s="28">
        <v>227</v>
      </c>
      <c r="BA81" s="28">
        <v>228</v>
      </c>
      <c r="BB81" s="28">
        <v>229</v>
      </c>
      <c r="BC81" s="28">
        <v>227</v>
      </c>
      <c r="BD81" s="28">
        <v>226</v>
      </c>
      <c r="BE81" s="28">
        <v>227</v>
      </c>
      <c r="BF81" s="28">
        <v>230</v>
      </c>
      <c r="BG81" s="28">
        <v>229</v>
      </c>
      <c r="BH81" s="28">
        <v>231</v>
      </c>
      <c r="BI81" s="28">
        <v>230</v>
      </c>
      <c r="BJ81" s="28">
        <v>227</v>
      </c>
      <c r="BK81" s="28">
        <v>228</v>
      </c>
      <c r="BL81" s="28">
        <v>230</v>
      </c>
      <c r="BM81" s="28">
        <v>227</v>
      </c>
      <c r="BN81" s="28">
        <v>226</v>
      </c>
      <c r="BO81" s="28">
        <v>228</v>
      </c>
      <c r="BP81" s="28">
        <v>232</v>
      </c>
      <c r="BQ81" s="28">
        <v>229</v>
      </c>
      <c r="BR81" s="28">
        <v>227</v>
      </c>
      <c r="BS81" s="28">
        <v>229</v>
      </c>
      <c r="BT81" s="28">
        <v>227</v>
      </c>
      <c r="BU81" s="28">
        <v>229</v>
      </c>
      <c r="BV81" s="28">
        <v>223</v>
      </c>
      <c r="BW81" s="28">
        <v>228</v>
      </c>
      <c r="BX81" s="28">
        <v>226</v>
      </c>
      <c r="BY81" s="28">
        <v>229</v>
      </c>
      <c r="BZ81" s="28">
        <v>228</v>
      </c>
      <c r="CA81" s="28">
        <v>229</v>
      </c>
      <c r="CB81" s="28">
        <v>229</v>
      </c>
      <c r="CC81" s="28">
        <v>227</v>
      </c>
    </row>
    <row r="82" spans="1:81" x14ac:dyDescent="0.25">
      <c r="A82" s="13" t="s">
        <v>283</v>
      </c>
      <c r="B82" s="14">
        <v>1</v>
      </c>
      <c r="C82" s="13" t="s">
        <v>284</v>
      </c>
      <c r="D82" s="15">
        <v>13833</v>
      </c>
      <c r="E82" s="16">
        <v>59.977978800000002</v>
      </c>
      <c r="F82" s="17">
        <v>0</v>
      </c>
      <c r="G82" s="13" t="s">
        <v>252</v>
      </c>
      <c r="H82" s="18">
        <v>230.63464752833579</v>
      </c>
      <c r="I82" s="16">
        <v>234.1591345478387</v>
      </c>
      <c r="J82" s="16">
        <v>176.51278517405569</v>
      </c>
      <c r="K82" s="16">
        <v>157.99835049721949</v>
      </c>
      <c r="L82" s="16">
        <v>157.69351816562931</v>
      </c>
      <c r="M82" s="16">
        <v>94.284178800516671</v>
      </c>
      <c r="N82" s="16">
        <v>35.611647857781321</v>
      </c>
      <c r="O82" s="16">
        <v>512.34757659596266</v>
      </c>
      <c r="P82" s="19">
        <v>4.3358619822164393</v>
      </c>
      <c r="Q82" s="19">
        <v>0.50169434743405783</v>
      </c>
      <c r="R82" s="16">
        <v>11.57080989874124</v>
      </c>
      <c r="S82" s="16">
        <v>1.4459224985540781E-2</v>
      </c>
      <c r="T82" s="16">
        <v>7.2290898575869296E-3</v>
      </c>
      <c r="U82" s="14"/>
      <c r="V82" s="20">
        <v>230</v>
      </c>
      <c r="W82" s="20">
        <v>231</v>
      </c>
      <c r="X82" s="20">
        <v>230</v>
      </c>
      <c r="Y82" s="20">
        <v>233</v>
      </c>
      <c r="Z82" s="20">
        <v>231</v>
      </c>
      <c r="AA82" s="20">
        <v>233</v>
      </c>
      <c r="AB82" s="20">
        <v>228</v>
      </c>
      <c r="AC82" s="20">
        <v>230</v>
      </c>
      <c r="AD82" s="20">
        <v>230</v>
      </c>
      <c r="AE82" s="20">
        <v>228</v>
      </c>
      <c r="AF82" s="20">
        <v>232</v>
      </c>
      <c r="AG82" s="20">
        <v>228</v>
      </c>
      <c r="AH82" s="20">
        <v>229</v>
      </c>
      <c r="AI82" s="20">
        <v>234</v>
      </c>
      <c r="AJ82" s="20">
        <v>226</v>
      </c>
      <c r="AK82" s="20">
        <v>230</v>
      </c>
      <c r="AL82" s="20">
        <v>230</v>
      </c>
      <c r="AM82" s="20">
        <v>231</v>
      </c>
      <c r="AN82" s="20">
        <v>231</v>
      </c>
      <c r="AO82" s="20">
        <v>231</v>
      </c>
      <c r="AP82" s="20">
        <v>234</v>
      </c>
      <c r="AQ82" s="20">
        <v>231</v>
      </c>
      <c r="AR82" s="20">
        <v>232</v>
      </c>
      <c r="AS82" s="20">
        <v>230</v>
      </c>
      <c r="AT82" s="20">
        <v>228</v>
      </c>
      <c r="AU82" s="20">
        <v>232</v>
      </c>
      <c r="AV82" s="20">
        <v>231</v>
      </c>
      <c r="AW82" s="20">
        <v>232</v>
      </c>
      <c r="AX82" s="20">
        <v>233</v>
      </c>
      <c r="AY82" s="20">
        <v>230</v>
      </c>
      <c r="AZ82" s="20">
        <v>230</v>
      </c>
      <c r="BA82" s="20">
        <v>231</v>
      </c>
      <c r="BB82" s="20">
        <v>232</v>
      </c>
      <c r="BC82" s="20">
        <v>232</v>
      </c>
      <c r="BD82" s="20">
        <v>226</v>
      </c>
      <c r="BE82" s="20">
        <v>232</v>
      </c>
      <c r="BF82" s="20">
        <v>233</v>
      </c>
      <c r="BG82" s="20">
        <v>230</v>
      </c>
      <c r="BH82" s="20">
        <v>234</v>
      </c>
      <c r="BI82" s="20">
        <v>231</v>
      </c>
      <c r="BJ82" s="20">
        <v>229</v>
      </c>
      <c r="BK82" s="20">
        <v>233</v>
      </c>
      <c r="BL82" s="20">
        <v>231</v>
      </c>
      <c r="BM82" s="20">
        <v>231</v>
      </c>
      <c r="BN82" s="20">
        <v>228</v>
      </c>
      <c r="BO82" s="20">
        <v>231</v>
      </c>
      <c r="BP82" s="20">
        <v>232</v>
      </c>
      <c r="BQ82" s="20">
        <v>232</v>
      </c>
      <c r="BR82" s="20">
        <v>231</v>
      </c>
      <c r="BS82" s="20">
        <v>231</v>
      </c>
      <c r="BT82" s="20">
        <v>230</v>
      </c>
      <c r="BU82" s="20">
        <v>232</v>
      </c>
      <c r="BV82" s="20">
        <v>231</v>
      </c>
      <c r="BW82" s="20">
        <v>229</v>
      </c>
      <c r="BX82" s="20">
        <v>221</v>
      </c>
      <c r="BY82" s="20">
        <v>231</v>
      </c>
      <c r="BZ82" s="20">
        <v>232</v>
      </c>
      <c r="CA82" s="20">
        <v>229</v>
      </c>
      <c r="CB82" s="20">
        <v>232</v>
      </c>
      <c r="CC82" s="20">
        <v>227</v>
      </c>
    </row>
    <row r="83" spans="1:81" x14ac:dyDescent="0.25">
      <c r="A83" s="13" t="s">
        <v>283</v>
      </c>
      <c r="B83" s="14">
        <v>2</v>
      </c>
      <c r="C83" s="13" t="s">
        <v>284</v>
      </c>
      <c r="D83" s="15">
        <v>13773</v>
      </c>
      <c r="E83" s="16">
        <v>60.007789999999993</v>
      </c>
      <c r="F83" s="17">
        <v>0</v>
      </c>
      <c r="G83" s="13" t="s">
        <v>252</v>
      </c>
      <c r="H83" s="18">
        <v>229.52020062728519</v>
      </c>
      <c r="I83" s="16">
        <v>232.66094320746379</v>
      </c>
      <c r="J83" s="16">
        <v>176.92526535251281</v>
      </c>
      <c r="K83" s="16">
        <v>154.42614041697101</v>
      </c>
      <c r="L83" s="16">
        <v>155.4552299687254</v>
      </c>
      <c r="M83" s="16">
        <v>80.254374264669295</v>
      </c>
      <c r="N83" s="16">
        <v>38.009373111409268</v>
      </c>
      <c r="O83" s="16">
        <v>472.29962688329471</v>
      </c>
      <c r="P83" s="19">
        <v>4.3569149785812824</v>
      </c>
      <c r="Q83" s="19">
        <v>0.50603646041231265</v>
      </c>
      <c r="R83" s="16">
        <v>11.61455899185553</v>
      </c>
      <c r="S83" s="16">
        <v>2.1783328492593668E-2</v>
      </c>
      <c r="T83" s="16">
        <v>2.1781746896101069E-2</v>
      </c>
      <c r="U83" s="14"/>
      <c r="V83" s="20">
        <v>231</v>
      </c>
      <c r="W83" s="20">
        <v>230</v>
      </c>
      <c r="X83" s="20">
        <v>231</v>
      </c>
      <c r="Y83" s="20">
        <v>232</v>
      </c>
      <c r="Z83" s="20">
        <v>232</v>
      </c>
      <c r="AA83" s="20">
        <v>231</v>
      </c>
      <c r="AB83" s="20">
        <v>231</v>
      </c>
      <c r="AC83" s="20">
        <v>232</v>
      </c>
      <c r="AD83" s="20">
        <v>227</v>
      </c>
      <c r="AE83" s="20">
        <v>230</v>
      </c>
      <c r="AF83" s="20">
        <v>232</v>
      </c>
      <c r="AG83" s="20">
        <v>232</v>
      </c>
      <c r="AH83" s="20">
        <v>233</v>
      </c>
      <c r="AI83" s="20">
        <v>233</v>
      </c>
      <c r="AJ83" s="20">
        <v>232</v>
      </c>
      <c r="AK83" s="20">
        <v>231</v>
      </c>
      <c r="AL83" s="20">
        <v>232</v>
      </c>
      <c r="AM83" s="20">
        <v>222</v>
      </c>
      <c r="AN83" s="20">
        <v>223</v>
      </c>
      <c r="AO83" s="20">
        <v>220</v>
      </c>
      <c r="AP83" s="20">
        <v>223</v>
      </c>
      <c r="AQ83" s="20">
        <v>224</v>
      </c>
      <c r="AR83" s="20">
        <v>223</v>
      </c>
      <c r="AS83" s="20">
        <v>224</v>
      </c>
      <c r="AT83" s="20">
        <v>231</v>
      </c>
      <c r="AU83" s="20">
        <v>231</v>
      </c>
      <c r="AV83" s="20">
        <v>232</v>
      </c>
      <c r="AW83" s="20">
        <v>231</v>
      </c>
      <c r="AX83" s="20">
        <v>232</v>
      </c>
      <c r="AY83" s="20">
        <v>229</v>
      </c>
      <c r="AZ83" s="20">
        <v>229</v>
      </c>
      <c r="BA83" s="20">
        <v>229</v>
      </c>
      <c r="BB83" s="20">
        <v>231</v>
      </c>
      <c r="BC83" s="20">
        <v>230</v>
      </c>
      <c r="BD83" s="20">
        <v>229</v>
      </c>
      <c r="BE83" s="20">
        <v>231</v>
      </c>
      <c r="BF83" s="20">
        <v>231</v>
      </c>
      <c r="BG83" s="20">
        <v>228</v>
      </c>
      <c r="BH83" s="20">
        <v>231</v>
      </c>
      <c r="BI83" s="20">
        <v>225</v>
      </c>
      <c r="BJ83" s="20">
        <v>223</v>
      </c>
      <c r="BK83" s="20">
        <v>230</v>
      </c>
      <c r="BL83" s="20">
        <v>230</v>
      </c>
      <c r="BM83" s="20">
        <v>230</v>
      </c>
      <c r="BN83" s="20">
        <v>233</v>
      </c>
      <c r="BO83" s="20">
        <v>231</v>
      </c>
      <c r="BP83" s="20">
        <v>229</v>
      </c>
      <c r="BQ83" s="20">
        <v>233</v>
      </c>
      <c r="BR83" s="20">
        <v>232</v>
      </c>
      <c r="BS83" s="20">
        <v>228</v>
      </c>
      <c r="BT83" s="20">
        <v>232</v>
      </c>
      <c r="BU83" s="20">
        <v>232</v>
      </c>
      <c r="BV83" s="20">
        <v>232</v>
      </c>
      <c r="BW83" s="20">
        <v>227</v>
      </c>
      <c r="BX83" s="20">
        <v>230</v>
      </c>
      <c r="BY83" s="20">
        <v>229</v>
      </c>
      <c r="BZ83" s="20">
        <v>226</v>
      </c>
      <c r="CA83" s="20">
        <v>232</v>
      </c>
      <c r="CB83" s="20">
        <v>233</v>
      </c>
      <c r="CC83" s="20">
        <v>228</v>
      </c>
    </row>
    <row r="84" spans="1:81" x14ac:dyDescent="0.25">
      <c r="A84" s="13" t="s">
        <v>283</v>
      </c>
      <c r="B84" s="14">
        <v>3</v>
      </c>
      <c r="C84" s="13" t="s">
        <v>284</v>
      </c>
      <c r="D84" s="15">
        <v>13767</v>
      </c>
      <c r="E84" s="16">
        <v>60.0036706</v>
      </c>
      <c r="F84" s="17">
        <v>0</v>
      </c>
      <c r="G84" s="13" t="s">
        <v>252</v>
      </c>
      <c r="H84" s="18">
        <v>229.43596387251679</v>
      </c>
      <c r="I84" s="16">
        <v>233.0567726298126</v>
      </c>
      <c r="J84" s="16">
        <v>174.88932129301969</v>
      </c>
      <c r="K84" s="16">
        <v>153.57583202931929</v>
      </c>
      <c r="L84" s="16">
        <v>157.02126365423851</v>
      </c>
      <c r="M84" s="16">
        <v>97.813062934554921</v>
      </c>
      <c r="N84" s="16">
        <v>43.165591843429773</v>
      </c>
      <c r="O84" s="16">
        <v>395.99255533995961</v>
      </c>
      <c r="P84" s="19">
        <v>4.3585146073944943</v>
      </c>
      <c r="Q84" s="19">
        <v>0.49528930385677078</v>
      </c>
      <c r="R84" s="16">
        <v>11.36371788261261</v>
      </c>
      <c r="S84" s="16">
        <v>7.2642742989975301E-3</v>
      </c>
      <c r="T84" s="16">
        <v>7.263746640517179E-3</v>
      </c>
      <c r="U84" s="14"/>
      <c r="V84" s="20">
        <v>230</v>
      </c>
      <c r="W84" s="20">
        <v>233</v>
      </c>
      <c r="X84" s="20">
        <v>234</v>
      </c>
      <c r="Y84" s="20">
        <v>234</v>
      </c>
      <c r="Z84" s="20">
        <v>233</v>
      </c>
      <c r="AA84" s="20">
        <v>226</v>
      </c>
      <c r="AB84" s="20">
        <v>230</v>
      </c>
      <c r="AC84" s="20">
        <v>231</v>
      </c>
      <c r="AD84" s="20">
        <v>233</v>
      </c>
      <c r="AE84" s="20">
        <v>229</v>
      </c>
      <c r="AF84" s="20">
        <v>231</v>
      </c>
      <c r="AG84" s="20">
        <v>231</v>
      </c>
      <c r="AH84" s="20">
        <v>233</v>
      </c>
      <c r="AI84" s="20">
        <v>229</v>
      </c>
      <c r="AJ84" s="20">
        <v>222</v>
      </c>
      <c r="AK84" s="20">
        <v>221</v>
      </c>
      <c r="AL84" s="20">
        <v>230</v>
      </c>
      <c r="AM84" s="20">
        <v>231</v>
      </c>
      <c r="AN84" s="20">
        <v>233</v>
      </c>
      <c r="AO84" s="20">
        <v>231</v>
      </c>
      <c r="AP84" s="20">
        <v>231</v>
      </c>
      <c r="AQ84" s="20">
        <v>221</v>
      </c>
      <c r="AR84" s="20">
        <v>230</v>
      </c>
      <c r="AS84" s="20">
        <v>230</v>
      </c>
      <c r="AT84" s="20">
        <v>230</v>
      </c>
      <c r="AU84" s="20">
        <v>226</v>
      </c>
      <c r="AV84" s="20">
        <v>229</v>
      </c>
      <c r="AW84" s="20">
        <v>226</v>
      </c>
      <c r="AX84" s="20">
        <v>234</v>
      </c>
      <c r="AY84" s="20">
        <v>231</v>
      </c>
      <c r="AZ84" s="20">
        <v>227</v>
      </c>
      <c r="BA84" s="20">
        <v>230</v>
      </c>
      <c r="BB84" s="20">
        <v>230</v>
      </c>
      <c r="BC84" s="20">
        <v>231</v>
      </c>
      <c r="BD84" s="20">
        <v>233</v>
      </c>
      <c r="BE84" s="20">
        <v>230</v>
      </c>
      <c r="BF84" s="20">
        <v>231</v>
      </c>
      <c r="BG84" s="20">
        <v>229</v>
      </c>
      <c r="BH84" s="20">
        <v>229</v>
      </c>
      <c r="BI84" s="20">
        <v>227</v>
      </c>
      <c r="BJ84" s="20">
        <v>228</v>
      </c>
      <c r="BK84" s="20">
        <v>229</v>
      </c>
      <c r="BL84" s="20">
        <v>232</v>
      </c>
      <c r="BM84" s="20">
        <v>229</v>
      </c>
      <c r="BN84" s="20">
        <v>221</v>
      </c>
      <c r="BO84" s="20">
        <v>225</v>
      </c>
      <c r="BP84" s="20">
        <v>230</v>
      </c>
      <c r="BQ84" s="20">
        <v>228</v>
      </c>
      <c r="BR84" s="20">
        <v>230</v>
      </c>
      <c r="BS84" s="20">
        <v>228</v>
      </c>
      <c r="BT84" s="20">
        <v>232</v>
      </c>
      <c r="BU84" s="20">
        <v>230</v>
      </c>
      <c r="BV84" s="20">
        <v>226</v>
      </c>
      <c r="BW84" s="20">
        <v>227</v>
      </c>
      <c r="BX84" s="20">
        <v>228</v>
      </c>
      <c r="BY84" s="20">
        <v>228</v>
      </c>
      <c r="BZ84" s="20">
        <v>229</v>
      </c>
      <c r="CA84" s="20">
        <v>232</v>
      </c>
      <c r="CB84" s="20">
        <v>232</v>
      </c>
      <c r="CC84" s="20">
        <v>232</v>
      </c>
    </row>
    <row r="85" spans="1:81" x14ac:dyDescent="0.25">
      <c r="A85" s="13" t="s">
        <v>283</v>
      </c>
      <c r="B85" s="14">
        <v>4</v>
      </c>
      <c r="C85" s="13" t="s">
        <v>284</v>
      </c>
      <c r="D85" s="15">
        <v>13861</v>
      </c>
      <c r="E85" s="16">
        <v>60.006601500000002</v>
      </c>
      <c r="F85" s="17">
        <v>0</v>
      </c>
      <c r="G85" s="13" t="s">
        <v>252</v>
      </c>
      <c r="H85" s="18">
        <v>230.9912518541814</v>
      </c>
      <c r="I85" s="16">
        <v>234.04404708966231</v>
      </c>
      <c r="J85" s="16">
        <v>178.97219845869139</v>
      </c>
      <c r="K85" s="16">
        <v>158.20316640473359</v>
      </c>
      <c r="L85" s="16">
        <v>159.51716811830059</v>
      </c>
      <c r="M85" s="16">
        <v>95.741727116929368</v>
      </c>
      <c r="N85" s="16">
        <v>41.401010184648513</v>
      </c>
      <c r="O85" s="16">
        <v>385.17833757029501</v>
      </c>
      <c r="P85" s="19">
        <v>4.3291682779020277</v>
      </c>
      <c r="Q85" s="19">
        <v>0.48697915570191758</v>
      </c>
      <c r="R85" s="16">
        <v>11.248792480247831</v>
      </c>
      <c r="S85" s="16">
        <v>1.443001443001443E-2</v>
      </c>
      <c r="T85" s="16">
        <v>1.4428973378544121E-2</v>
      </c>
      <c r="U85" s="14"/>
      <c r="V85" s="20">
        <v>225</v>
      </c>
      <c r="W85" s="20">
        <v>223</v>
      </c>
      <c r="X85" s="20">
        <v>228</v>
      </c>
      <c r="Y85" s="20">
        <v>234</v>
      </c>
      <c r="Z85" s="20">
        <v>235</v>
      </c>
      <c r="AA85" s="20">
        <v>232</v>
      </c>
      <c r="AB85" s="20">
        <v>231</v>
      </c>
      <c r="AC85" s="20">
        <v>230</v>
      </c>
      <c r="AD85" s="20">
        <v>231</v>
      </c>
      <c r="AE85" s="20">
        <v>231</v>
      </c>
      <c r="AF85" s="20">
        <v>230</v>
      </c>
      <c r="AG85" s="20">
        <v>233</v>
      </c>
      <c r="AH85" s="20">
        <v>231</v>
      </c>
      <c r="AI85" s="20">
        <v>225</v>
      </c>
      <c r="AJ85" s="20">
        <v>231</v>
      </c>
      <c r="AK85" s="20">
        <v>231</v>
      </c>
      <c r="AL85" s="20">
        <v>231</v>
      </c>
      <c r="AM85" s="20">
        <v>231</v>
      </c>
      <c r="AN85" s="20">
        <v>232</v>
      </c>
      <c r="AO85" s="20">
        <v>232</v>
      </c>
      <c r="AP85" s="20">
        <v>228</v>
      </c>
      <c r="AQ85" s="20">
        <v>233</v>
      </c>
      <c r="AR85" s="20">
        <v>233</v>
      </c>
      <c r="AS85" s="20">
        <v>232</v>
      </c>
      <c r="AT85" s="20">
        <v>233</v>
      </c>
      <c r="AU85" s="20">
        <v>228</v>
      </c>
      <c r="AV85" s="20">
        <v>236</v>
      </c>
      <c r="AW85" s="20">
        <v>233</v>
      </c>
      <c r="AX85" s="20">
        <v>231</v>
      </c>
      <c r="AY85" s="20">
        <v>229</v>
      </c>
      <c r="AZ85" s="20">
        <v>226</v>
      </c>
      <c r="BA85" s="20">
        <v>229</v>
      </c>
      <c r="BB85" s="20">
        <v>234</v>
      </c>
      <c r="BC85" s="20">
        <v>231</v>
      </c>
      <c r="BD85" s="20">
        <v>233</v>
      </c>
      <c r="BE85" s="20">
        <v>230</v>
      </c>
      <c r="BF85" s="20">
        <v>230</v>
      </c>
      <c r="BG85" s="20">
        <v>229</v>
      </c>
      <c r="BH85" s="20">
        <v>228</v>
      </c>
      <c r="BI85" s="20">
        <v>230</v>
      </c>
      <c r="BJ85" s="20">
        <v>225</v>
      </c>
      <c r="BK85" s="20">
        <v>228</v>
      </c>
      <c r="BL85" s="20">
        <v>233</v>
      </c>
      <c r="BM85" s="20">
        <v>231</v>
      </c>
      <c r="BN85" s="20">
        <v>234</v>
      </c>
      <c r="BO85" s="20">
        <v>229</v>
      </c>
      <c r="BP85" s="20">
        <v>231</v>
      </c>
      <c r="BQ85" s="20">
        <v>234</v>
      </c>
      <c r="BR85" s="20">
        <v>232</v>
      </c>
      <c r="BS85" s="20">
        <v>231</v>
      </c>
      <c r="BT85" s="20">
        <v>232</v>
      </c>
      <c r="BU85" s="20">
        <v>234</v>
      </c>
      <c r="BV85" s="20">
        <v>233</v>
      </c>
      <c r="BW85" s="20">
        <v>234</v>
      </c>
      <c r="BX85" s="20">
        <v>231</v>
      </c>
      <c r="BY85" s="20">
        <v>230</v>
      </c>
      <c r="BZ85" s="20">
        <v>231</v>
      </c>
      <c r="CA85" s="20">
        <v>235</v>
      </c>
      <c r="CB85" s="20">
        <v>235</v>
      </c>
      <c r="CC85" s="20">
        <v>234</v>
      </c>
    </row>
    <row r="86" spans="1:81" x14ac:dyDescent="0.25">
      <c r="A86" s="13" t="s">
        <v>283</v>
      </c>
      <c r="B86" s="14">
        <v>5</v>
      </c>
      <c r="C86" s="13" t="s">
        <v>284</v>
      </c>
      <c r="D86" s="15">
        <v>13902</v>
      </c>
      <c r="E86" s="16">
        <v>60.005573099999992</v>
      </c>
      <c r="F86" s="17">
        <v>0</v>
      </c>
      <c r="G86" s="13" t="s">
        <v>252</v>
      </c>
      <c r="H86" s="18">
        <v>231.67848054433469</v>
      </c>
      <c r="I86" s="16">
        <v>235.33564746720009</v>
      </c>
      <c r="J86" s="16">
        <v>177.06445199171841</v>
      </c>
      <c r="K86" s="16">
        <v>155.5783948096433</v>
      </c>
      <c r="L86" s="16">
        <v>136.25673826958271</v>
      </c>
      <c r="M86" s="16">
        <v>16.63846446939105</v>
      </c>
      <c r="N86" s="16">
        <v>16.63846446939105</v>
      </c>
      <c r="O86" s="16">
        <v>397.55108531446291</v>
      </c>
      <c r="P86" s="19">
        <v>4.3163266508416047</v>
      </c>
      <c r="Q86" s="19">
        <v>0.69767126119567036</v>
      </c>
      <c r="R86" s="16">
        <v>16.163541771326251</v>
      </c>
      <c r="S86" s="16">
        <v>3.5968635349974819E-2</v>
      </c>
      <c r="T86" s="16">
        <v>3.5966048050640187E-2</v>
      </c>
      <c r="U86" s="14"/>
      <c r="V86" s="20">
        <v>227</v>
      </c>
      <c r="W86" s="20">
        <v>228</v>
      </c>
      <c r="X86" s="20">
        <v>228</v>
      </c>
      <c r="Y86" s="20">
        <v>232</v>
      </c>
      <c r="Z86" s="20">
        <v>234</v>
      </c>
      <c r="AA86" s="20">
        <v>233</v>
      </c>
      <c r="AB86" s="20">
        <v>229</v>
      </c>
      <c r="AC86" s="20">
        <v>233</v>
      </c>
      <c r="AD86" s="20">
        <v>233</v>
      </c>
      <c r="AE86" s="20">
        <v>228</v>
      </c>
      <c r="AF86" s="20">
        <v>213</v>
      </c>
      <c r="AG86" s="20">
        <v>230</v>
      </c>
      <c r="AH86" s="20">
        <v>230</v>
      </c>
      <c r="AI86" s="20">
        <v>229</v>
      </c>
      <c r="AJ86" s="20">
        <v>230</v>
      </c>
      <c r="AK86" s="20">
        <v>227</v>
      </c>
      <c r="AL86" s="20">
        <v>224</v>
      </c>
      <c r="AM86" s="20">
        <v>231</v>
      </c>
      <c r="AN86" s="20">
        <v>232</v>
      </c>
      <c r="AO86" s="20">
        <v>230</v>
      </c>
      <c r="AP86" s="20">
        <v>227</v>
      </c>
      <c r="AQ86" s="20">
        <v>225</v>
      </c>
      <c r="AR86" s="20">
        <v>230</v>
      </c>
      <c r="AS86" s="20">
        <v>231</v>
      </c>
      <c r="AT86" s="20">
        <v>234</v>
      </c>
      <c r="AU86" s="20">
        <v>236</v>
      </c>
      <c r="AV86" s="20">
        <v>227</v>
      </c>
      <c r="AW86" s="20">
        <v>231</v>
      </c>
      <c r="AX86" s="20">
        <v>232</v>
      </c>
      <c r="AY86" s="20">
        <v>235</v>
      </c>
      <c r="AZ86" s="20">
        <v>236</v>
      </c>
      <c r="BA86" s="20">
        <v>234</v>
      </c>
      <c r="BB86" s="20">
        <v>239</v>
      </c>
      <c r="BC86" s="20">
        <v>235</v>
      </c>
      <c r="BD86" s="20">
        <v>235</v>
      </c>
      <c r="BE86" s="20">
        <v>234</v>
      </c>
      <c r="BF86" s="20">
        <v>231</v>
      </c>
      <c r="BG86" s="20">
        <v>233</v>
      </c>
      <c r="BH86" s="20">
        <v>234</v>
      </c>
      <c r="BI86" s="20">
        <v>236</v>
      </c>
      <c r="BJ86" s="20">
        <v>235</v>
      </c>
      <c r="BK86" s="20">
        <v>235</v>
      </c>
      <c r="BL86" s="20">
        <v>234</v>
      </c>
      <c r="BM86" s="20">
        <v>231</v>
      </c>
      <c r="BN86" s="20">
        <v>232</v>
      </c>
      <c r="BO86" s="20">
        <v>232</v>
      </c>
      <c r="BP86" s="20">
        <v>231</v>
      </c>
      <c r="BQ86" s="20">
        <v>229</v>
      </c>
      <c r="BR86" s="20">
        <v>234</v>
      </c>
      <c r="BS86" s="20">
        <v>237</v>
      </c>
      <c r="BT86" s="20">
        <v>235</v>
      </c>
      <c r="BU86" s="20">
        <v>233</v>
      </c>
      <c r="BV86" s="20">
        <v>234</v>
      </c>
      <c r="BW86" s="20">
        <v>234</v>
      </c>
      <c r="BX86" s="20">
        <v>232</v>
      </c>
      <c r="BY86" s="20">
        <v>235</v>
      </c>
      <c r="BZ86" s="20">
        <v>231</v>
      </c>
      <c r="CA86" s="20">
        <v>233</v>
      </c>
      <c r="CB86" s="20">
        <v>235</v>
      </c>
      <c r="CC86" s="20">
        <v>233</v>
      </c>
    </row>
    <row r="87" spans="1:81" x14ac:dyDescent="0.25">
      <c r="A87" s="21" t="s">
        <v>285</v>
      </c>
      <c r="B87" s="22">
        <v>1</v>
      </c>
      <c r="C87" s="21" t="s">
        <v>286</v>
      </c>
      <c r="D87" s="23">
        <v>13859</v>
      </c>
      <c r="E87" s="24">
        <v>59.991261800000011</v>
      </c>
      <c r="F87" s="25">
        <v>0</v>
      </c>
      <c r="G87" s="21" t="s">
        <v>252</v>
      </c>
      <c r="H87" s="26">
        <v>231.01697787593449</v>
      </c>
      <c r="I87" s="24">
        <v>233.86889309852901</v>
      </c>
      <c r="J87" s="24">
        <v>179.0795668423437</v>
      </c>
      <c r="K87" s="24">
        <v>161.910444807174</v>
      </c>
      <c r="L87" s="24">
        <v>161.0654629818431</v>
      </c>
      <c r="M87" s="24">
        <v>90.753435017515415</v>
      </c>
      <c r="N87" s="24">
        <v>38.81867022763268</v>
      </c>
      <c r="O87" s="24">
        <v>339.0865009663965</v>
      </c>
      <c r="P87" s="27">
        <v>4.3286861822642333</v>
      </c>
      <c r="Q87" s="27">
        <v>0.51137195768251553</v>
      </c>
      <c r="R87" s="24">
        <v>11.8135604234315</v>
      </c>
      <c r="S87" s="24">
        <v>2.1648145475537599E-2</v>
      </c>
      <c r="T87" s="24">
        <v>2.1646583447579189E-2</v>
      </c>
      <c r="U87" s="22"/>
      <c r="V87" s="28">
        <v>231</v>
      </c>
      <c r="W87" s="28">
        <v>231</v>
      </c>
      <c r="X87" s="28">
        <v>227</v>
      </c>
      <c r="Y87" s="28">
        <v>229</v>
      </c>
      <c r="Z87" s="28">
        <v>229</v>
      </c>
      <c r="AA87" s="28">
        <v>231</v>
      </c>
      <c r="AB87" s="28">
        <v>233</v>
      </c>
      <c r="AC87" s="28">
        <v>230</v>
      </c>
      <c r="AD87" s="28">
        <v>235</v>
      </c>
      <c r="AE87" s="28">
        <v>232</v>
      </c>
      <c r="AF87" s="28">
        <v>230</v>
      </c>
      <c r="AG87" s="28">
        <v>228</v>
      </c>
      <c r="AH87" s="28">
        <v>225</v>
      </c>
      <c r="AI87" s="28">
        <v>232</v>
      </c>
      <c r="AJ87" s="28">
        <v>231</v>
      </c>
      <c r="AK87" s="28">
        <v>231</v>
      </c>
      <c r="AL87" s="28">
        <v>232</v>
      </c>
      <c r="AM87" s="28">
        <v>229</v>
      </c>
      <c r="AN87" s="28">
        <v>228</v>
      </c>
      <c r="AO87" s="28">
        <v>232</v>
      </c>
      <c r="AP87" s="28">
        <v>233</v>
      </c>
      <c r="AQ87" s="28">
        <v>233</v>
      </c>
      <c r="AR87" s="28">
        <v>230</v>
      </c>
      <c r="AS87" s="28">
        <v>234</v>
      </c>
      <c r="AT87" s="28">
        <v>233</v>
      </c>
      <c r="AU87" s="28">
        <v>232</v>
      </c>
      <c r="AV87" s="28">
        <v>232</v>
      </c>
      <c r="AW87" s="28">
        <v>235</v>
      </c>
      <c r="AX87" s="28">
        <v>232</v>
      </c>
      <c r="AY87" s="28">
        <v>232</v>
      </c>
      <c r="AZ87" s="28">
        <v>230</v>
      </c>
      <c r="BA87" s="28">
        <v>232</v>
      </c>
      <c r="BB87" s="28">
        <v>230</v>
      </c>
      <c r="BC87" s="28">
        <v>231</v>
      </c>
      <c r="BD87" s="28">
        <v>231</v>
      </c>
      <c r="BE87" s="28">
        <v>234</v>
      </c>
      <c r="BF87" s="28">
        <v>232</v>
      </c>
      <c r="BG87" s="28">
        <v>233</v>
      </c>
      <c r="BH87" s="28">
        <v>234</v>
      </c>
      <c r="BI87" s="28">
        <v>230</v>
      </c>
      <c r="BJ87" s="28">
        <v>225</v>
      </c>
      <c r="BK87" s="28">
        <v>229</v>
      </c>
      <c r="BL87" s="28">
        <v>230</v>
      </c>
      <c r="BM87" s="28">
        <v>232</v>
      </c>
      <c r="BN87" s="28">
        <v>229</v>
      </c>
      <c r="BO87" s="28">
        <v>227</v>
      </c>
      <c r="BP87" s="28">
        <v>233</v>
      </c>
      <c r="BQ87" s="28">
        <v>229</v>
      </c>
      <c r="BR87" s="28">
        <v>234</v>
      </c>
      <c r="BS87" s="28">
        <v>231</v>
      </c>
      <c r="BT87" s="28">
        <v>230</v>
      </c>
      <c r="BU87" s="28">
        <v>232</v>
      </c>
      <c r="BV87" s="28">
        <v>227</v>
      </c>
      <c r="BW87" s="28">
        <v>231</v>
      </c>
      <c r="BX87" s="28">
        <v>233</v>
      </c>
      <c r="BY87" s="28">
        <v>234</v>
      </c>
      <c r="BZ87" s="28">
        <v>233</v>
      </c>
      <c r="CA87" s="28">
        <v>231</v>
      </c>
      <c r="CB87" s="28">
        <v>232</v>
      </c>
      <c r="CC87" s="28">
        <v>228</v>
      </c>
    </row>
    <row r="88" spans="1:81" x14ac:dyDescent="0.25">
      <c r="A88" s="21" t="s">
        <v>285</v>
      </c>
      <c r="B88" s="22">
        <v>2</v>
      </c>
      <c r="C88" s="21" t="s">
        <v>286</v>
      </c>
      <c r="D88" s="23">
        <v>13839</v>
      </c>
      <c r="E88" s="24">
        <v>59.985732900000002</v>
      </c>
      <c r="F88" s="25">
        <v>0</v>
      </c>
      <c r="G88" s="21" t="s">
        <v>252</v>
      </c>
      <c r="H88" s="26">
        <v>230.7048581546963</v>
      </c>
      <c r="I88" s="24">
        <v>233.5193704317773</v>
      </c>
      <c r="J88" s="24">
        <v>178.55401955452211</v>
      </c>
      <c r="K88" s="24">
        <v>157.6810391987803</v>
      </c>
      <c r="L88" s="24">
        <v>157.50488389486031</v>
      </c>
      <c r="M88" s="24">
        <v>76.360593046909855</v>
      </c>
      <c r="N88" s="24">
        <v>36.828343092844257</v>
      </c>
      <c r="O88" s="24">
        <v>392.95818924866393</v>
      </c>
      <c r="P88" s="27">
        <v>4.3345424452633861</v>
      </c>
      <c r="Q88" s="27">
        <v>0.5170313476968329</v>
      </c>
      <c r="R88" s="24">
        <v>11.92816437319293</v>
      </c>
      <c r="S88" s="24">
        <v>2.8905911258852439E-2</v>
      </c>
      <c r="T88" s="24">
        <v>2.8903822530529661E-2</v>
      </c>
      <c r="U88" s="22"/>
      <c r="V88" s="28">
        <v>230</v>
      </c>
      <c r="W88" s="28">
        <v>230</v>
      </c>
      <c r="X88" s="28">
        <v>232</v>
      </c>
      <c r="Y88" s="28">
        <v>229</v>
      </c>
      <c r="Z88" s="28">
        <v>231</v>
      </c>
      <c r="AA88" s="28">
        <v>230</v>
      </c>
      <c r="AB88" s="28">
        <v>232</v>
      </c>
      <c r="AC88" s="28">
        <v>228</v>
      </c>
      <c r="AD88" s="28">
        <v>227</v>
      </c>
      <c r="AE88" s="28">
        <v>229</v>
      </c>
      <c r="AF88" s="28">
        <v>233</v>
      </c>
      <c r="AG88" s="28">
        <v>233</v>
      </c>
      <c r="AH88" s="28">
        <v>229</v>
      </c>
      <c r="AI88" s="28">
        <v>231</v>
      </c>
      <c r="AJ88" s="28">
        <v>230</v>
      </c>
      <c r="AK88" s="28">
        <v>229</v>
      </c>
      <c r="AL88" s="28">
        <v>233</v>
      </c>
      <c r="AM88" s="28">
        <v>232</v>
      </c>
      <c r="AN88" s="28">
        <v>230</v>
      </c>
      <c r="AO88" s="28">
        <v>232</v>
      </c>
      <c r="AP88" s="28">
        <v>231</v>
      </c>
      <c r="AQ88" s="28">
        <v>233</v>
      </c>
      <c r="AR88" s="28">
        <v>229</v>
      </c>
      <c r="AS88" s="28">
        <v>230</v>
      </c>
      <c r="AT88" s="28">
        <v>232</v>
      </c>
      <c r="AU88" s="28">
        <v>233</v>
      </c>
      <c r="AV88" s="28">
        <v>232</v>
      </c>
      <c r="AW88" s="28">
        <v>230</v>
      </c>
      <c r="AX88" s="28">
        <v>228</v>
      </c>
      <c r="AY88" s="28">
        <v>232</v>
      </c>
      <c r="AZ88" s="28">
        <v>232</v>
      </c>
      <c r="BA88" s="28">
        <v>231</v>
      </c>
      <c r="BB88" s="28">
        <v>227</v>
      </c>
      <c r="BC88" s="28">
        <v>232</v>
      </c>
      <c r="BD88" s="28">
        <v>235</v>
      </c>
      <c r="BE88" s="28">
        <v>230</v>
      </c>
      <c r="BF88" s="28">
        <v>233</v>
      </c>
      <c r="BG88" s="28">
        <v>232</v>
      </c>
      <c r="BH88" s="28">
        <v>226</v>
      </c>
      <c r="BI88" s="28">
        <v>230</v>
      </c>
      <c r="BJ88" s="28">
        <v>229</v>
      </c>
      <c r="BK88" s="28">
        <v>233</v>
      </c>
      <c r="BL88" s="28">
        <v>225</v>
      </c>
      <c r="BM88" s="28">
        <v>227</v>
      </c>
      <c r="BN88" s="28">
        <v>232</v>
      </c>
      <c r="BO88" s="28">
        <v>233</v>
      </c>
      <c r="BP88" s="28">
        <v>230</v>
      </c>
      <c r="BQ88" s="28">
        <v>229</v>
      </c>
      <c r="BR88" s="28">
        <v>229</v>
      </c>
      <c r="BS88" s="28">
        <v>235</v>
      </c>
      <c r="BT88" s="28">
        <v>231</v>
      </c>
      <c r="BU88" s="28">
        <v>230</v>
      </c>
      <c r="BV88" s="28">
        <v>233</v>
      </c>
      <c r="BW88" s="28">
        <v>231</v>
      </c>
      <c r="BX88" s="28">
        <v>233</v>
      </c>
      <c r="BY88" s="28">
        <v>231</v>
      </c>
      <c r="BZ88" s="28">
        <v>234</v>
      </c>
      <c r="CA88" s="28">
        <v>229</v>
      </c>
      <c r="CB88" s="28">
        <v>229</v>
      </c>
      <c r="CC88" s="28">
        <v>228</v>
      </c>
    </row>
    <row r="89" spans="1:81" x14ac:dyDescent="0.25">
      <c r="A89" s="21" t="s">
        <v>285</v>
      </c>
      <c r="B89" s="22">
        <v>3</v>
      </c>
      <c r="C89" s="21" t="s">
        <v>286</v>
      </c>
      <c r="D89" s="23">
        <v>13791</v>
      </c>
      <c r="E89" s="24">
        <v>59.9852445</v>
      </c>
      <c r="F89" s="25">
        <v>0</v>
      </c>
      <c r="G89" s="21" t="s">
        <v>252</v>
      </c>
      <c r="H89" s="26">
        <v>229.9065397657919</v>
      </c>
      <c r="I89" s="24">
        <v>232.5094747610965</v>
      </c>
      <c r="J89" s="24">
        <v>178.7431496687889</v>
      </c>
      <c r="K89" s="24">
        <v>160.50055629492749</v>
      </c>
      <c r="L89" s="24">
        <v>159.76479958754061</v>
      </c>
      <c r="M89" s="24">
        <v>90.927000772879509</v>
      </c>
      <c r="N89" s="24">
        <v>38.264915664125873</v>
      </c>
      <c r="O89" s="24">
        <v>360.10082823190493</v>
      </c>
      <c r="P89" s="27">
        <v>4.3495935392647382</v>
      </c>
      <c r="Q89" s="27">
        <v>0.51715553828458161</v>
      </c>
      <c r="R89" s="24">
        <v>11.88974403277237</v>
      </c>
      <c r="S89" s="24">
        <v>2.175489485134155E-2</v>
      </c>
      <c r="T89" s="24">
        <v>1.4502211587267061E-2</v>
      </c>
      <c r="U89" s="22"/>
      <c r="V89" s="28">
        <v>234</v>
      </c>
      <c r="W89" s="28">
        <v>230</v>
      </c>
      <c r="X89" s="28">
        <v>233</v>
      </c>
      <c r="Y89" s="28">
        <v>225</v>
      </c>
      <c r="Z89" s="28">
        <v>230</v>
      </c>
      <c r="AA89" s="28">
        <v>231</v>
      </c>
      <c r="AB89" s="28">
        <v>233</v>
      </c>
      <c r="AC89" s="28">
        <v>231</v>
      </c>
      <c r="AD89" s="28">
        <v>234</v>
      </c>
      <c r="AE89" s="28">
        <v>230</v>
      </c>
      <c r="AF89" s="28">
        <v>234</v>
      </c>
      <c r="AG89" s="28">
        <v>234</v>
      </c>
      <c r="AH89" s="28">
        <v>227</v>
      </c>
      <c r="AI89" s="28">
        <v>231</v>
      </c>
      <c r="AJ89" s="28">
        <v>229</v>
      </c>
      <c r="AK89" s="28">
        <v>233</v>
      </c>
      <c r="AL89" s="28">
        <v>232</v>
      </c>
      <c r="AM89" s="28">
        <v>234</v>
      </c>
      <c r="AN89" s="28">
        <v>227</v>
      </c>
      <c r="AO89" s="28">
        <v>235</v>
      </c>
      <c r="AP89" s="28">
        <v>232</v>
      </c>
      <c r="AQ89" s="28">
        <v>232</v>
      </c>
      <c r="AR89" s="28">
        <v>235</v>
      </c>
      <c r="AS89" s="28">
        <v>226</v>
      </c>
      <c r="AT89" s="28">
        <v>233</v>
      </c>
      <c r="AU89" s="28">
        <v>234</v>
      </c>
      <c r="AV89" s="28">
        <v>234</v>
      </c>
      <c r="AW89" s="28">
        <v>230</v>
      </c>
      <c r="AX89" s="28">
        <v>232</v>
      </c>
      <c r="AY89" s="28">
        <v>232</v>
      </c>
      <c r="AZ89" s="28">
        <v>231</v>
      </c>
      <c r="BA89" s="28">
        <v>234</v>
      </c>
      <c r="BB89" s="28">
        <v>227</v>
      </c>
      <c r="BC89" s="28">
        <v>227</v>
      </c>
      <c r="BD89" s="28">
        <v>232</v>
      </c>
      <c r="BE89" s="28">
        <v>232</v>
      </c>
      <c r="BF89" s="28">
        <v>231</v>
      </c>
      <c r="BG89" s="28">
        <v>231</v>
      </c>
      <c r="BH89" s="28">
        <v>232</v>
      </c>
      <c r="BI89" s="28">
        <v>232</v>
      </c>
      <c r="BJ89" s="28">
        <v>229</v>
      </c>
      <c r="BK89" s="28">
        <v>231</v>
      </c>
      <c r="BL89" s="28">
        <v>229</v>
      </c>
      <c r="BM89" s="28">
        <v>226</v>
      </c>
      <c r="BN89" s="28">
        <v>228</v>
      </c>
      <c r="BO89" s="28">
        <v>229</v>
      </c>
      <c r="BP89" s="28">
        <v>229</v>
      </c>
      <c r="BQ89" s="28">
        <v>229</v>
      </c>
      <c r="BR89" s="28">
        <v>232</v>
      </c>
      <c r="BS89" s="28">
        <v>234</v>
      </c>
      <c r="BT89" s="28">
        <v>229</v>
      </c>
      <c r="BU89" s="28">
        <v>222</v>
      </c>
      <c r="BV89" s="28">
        <v>223</v>
      </c>
      <c r="BW89" s="28">
        <v>221</v>
      </c>
      <c r="BX89" s="28">
        <v>218</v>
      </c>
      <c r="BY89" s="28">
        <v>220</v>
      </c>
      <c r="BZ89" s="28">
        <v>223</v>
      </c>
      <c r="CA89" s="28">
        <v>228</v>
      </c>
      <c r="CB89" s="28">
        <v>229</v>
      </c>
      <c r="CC89" s="28">
        <v>226</v>
      </c>
    </row>
    <row r="90" spans="1:81" x14ac:dyDescent="0.25">
      <c r="A90" s="21" t="s">
        <v>285</v>
      </c>
      <c r="B90" s="22">
        <v>4</v>
      </c>
      <c r="C90" s="21" t="s">
        <v>286</v>
      </c>
      <c r="D90" s="23">
        <v>13818</v>
      </c>
      <c r="E90" s="24">
        <v>59.976226500000003</v>
      </c>
      <c r="F90" s="25">
        <v>0</v>
      </c>
      <c r="G90" s="21" t="s">
        <v>252</v>
      </c>
      <c r="H90" s="26">
        <v>230.39128678760741</v>
      </c>
      <c r="I90" s="24">
        <v>233.10294991783121</v>
      </c>
      <c r="J90" s="24">
        <v>179.5759959329628</v>
      </c>
      <c r="K90" s="24">
        <v>158.71829012912971</v>
      </c>
      <c r="L90" s="24">
        <v>158.0802468581135</v>
      </c>
      <c r="M90" s="24">
        <v>80.271896969414797</v>
      </c>
      <c r="N90" s="24">
        <v>40.91820450918614</v>
      </c>
      <c r="O90" s="24">
        <v>456.7461404951128</v>
      </c>
      <c r="P90" s="27">
        <v>4.3404419235779406</v>
      </c>
      <c r="Q90" s="27">
        <v>0.51043652101106807</v>
      </c>
      <c r="R90" s="24">
        <v>11.76001268991296</v>
      </c>
      <c r="S90" s="24">
        <v>2.894984439458638E-2</v>
      </c>
      <c r="T90" s="24">
        <v>2.8947749312490959E-2</v>
      </c>
      <c r="U90" s="22"/>
      <c r="V90" s="28">
        <v>231</v>
      </c>
      <c r="W90" s="28">
        <v>232</v>
      </c>
      <c r="X90" s="28">
        <v>232</v>
      </c>
      <c r="Y90" s="28">
        <v>233</v>
      </c>
      <c r="Z90" s="28">
        <v>230</v>
      </c>
      <c r="AA90" s="28">
        <v>228</v>
      </c>
      <c r="AB90" s="28">
        <v>231</v>
      </c>
      <c r="AC90" s="28">
        <v>232</v>
      </c>
      <c r="AD90" s="28">
        <v>227</v>
      </c>
      <c r="AE90" s="28">
        <v>233</v>
      </c>
      <c r="AF90" s="28">
        <v>229</v>
      </c>
      <c r="AG90" s="28">
        <v>231</v>
      </c>
      <c r="AH90" s="28">
        <v>229</v>
      </c>
      <c r="AI90" s="28">
        <v>227</v>
      </c>
      <c r="AJ90" s="28">
        <v>231</v>
      </c>
      <c r="AK90" s="28">
        <v>232</v>
      </c>
      <c r="AL90" s="28">
        <v>232</v>
      </c>
      <c r="AM90" s="28">
        <v>232</v>
      </c>
      <c r="AN90" s="28">
        <v>230</v>
      </c>
      <c r="AO90" s="28">
        <v>232</v>
      </c>
      <c r="AP90" s="28">
        <v>233</v>
      </c>
      <c r="AQ90" s="28">
        <v>231</v>
      </c>
      <c r="AR90" s="28">
        <v>230</v>
      </c>
      <c r="AS90" s="28">
        <v>232</v>
      </c>
      <c r="AT90" s="28">
        <v>230</v>
      </c>
      <c r="AU90" s="28">
        <v>229</v>
      </c>
      <c r="AV90" s="28">
        <v>232</v>
      </c>
      <c r="AW90" s="28">
        <v>229</v>
      </c>
      <c r="AX90" s="28">
        <v>227</v>
      </c>
      <c r="AY90" s="28">
        <v>229</v>
      </c>
      <c r="AZ90" s="28">
        <v>228</v>
      </c>
      <c r="BA90" s="28">
        <v>228</v>
      </c>
      <c r="BB90" s="28">
        <v>230</v>
      </c>
      <c r="BC90" s="28">
        <v>230</v>
      </c>
      <c r="BD90" s="28">
        <v>232</v>
      </c>
      <c r="BE90" s="28">
        <v>232</v>
      </c>
      <c r="BF90" s="28">
        <v>232</v>
      </c>
      <c r="BG90" s="28">
        <v>232</v>
      </c>
      <c r="BH90" s="28">
        <v>228</v>
      </c>
      <c r="BI90" s="28">
        <v>228</v>
      </c>
      <c r="BJ90" s="28">
        <v>232</v>
      </c>
      <c r="BK90" s="28">
        <v>232</v>
      </c>
      <c r="BL90" s="28">
        <v>231</v>
      </c>
      <c r="BM90" s="28">
        <v>230</v>
      </c>
      <c r="BN90" s="28">
        <v>231</v>
      </c>
      <c r="BO90" s="28">
        <v>233</v>
      </c>
      <c r="BP90" s="28">
        <v>230</v>
      </c>
      <c r="BQ90" s="28">
        <v>229</v>
      </c>
      <c r="BR90" s="28">
        <v>225</v>
      </c>
      <c r="BS90" s="28">
        <v>231</v>
      </c>
      <c r="BT90" s="28">
        <v>231</v>
      </c>
      <c r="BU90" s="28">
        <v>232</v>
      </c>
      <c r="BV90" s="28">
        <v>229</v>
      </c>
      <c r="BW90" s="28">
        <v>232</v>
      </c>
      <c r="BX90" s="28">
        <v>231</v>
      </c>
      <c r="BY90" s="28">
        <v>230</v>
      </c>
      <c r="BZ90" s="28">
        <v>231</v>
      </c>
      <c r="CA90" s="28">
        <v>232</v>
      </c>
      <c r="CB90" s="28">
        <v>226</v>
      </c>
      <c r="CC90" s="28">
        <v>224</v>
      </c>
    </row>
    <row r="91" spans="1:81" x14ac:dyDescent="0.25">
      <c r="A91" s="21" t="s">
        <v>285</v>
      </c>
      <c r="B91" s="22">
        <v>5</v>
      </c>
      <c r="C91" s="21" t="s">
        <v>286</v>
      </c>
      <c r="D91" s="23">
        <v>13813</v>
      </c>
      <c r="E91" s="24">
        <v>60.003690799999987</v>
      </c>
      <c r="F91" s="25">
        <v>0</v>
      </c>
      <c r="G91" s="21" t="s">
        <v>252</v>
      </c>
      <c r="H91" s="26">
        <v>230.20250614317209</v>
      </c>
      <c r="I91" s="24">
        <v>232.96990028888271</v>
      </c>
      <c r="J91" s="24">
        <v>178.43785509133161</v>
      </c>
      <c r="K91" s="24">
        <v>154.2928054067159</v>
      </c>
      <c r="L91" s="24">
        <v>155.29925671132349</v>
      </c>
      <c r="M91" s="24">
        <v>78.97896000505466</v>
      </c>
      <c r="N91" s="24">
        <v>43.02148492957383</v>
      </c>
      <c r="O91" s="24">
        <v>395.38193895302862</v>
      </c>
      <c r="P91" s="27">
        <v>4.3440013610367041</v>
      </c>
      <c r="Q91" s="27">
        <v>0.51461369080097741</v>
      </c>
      <c r="R91" s="24">
        <v>11.846536131797251</v>
      </c>
      <c r="S91" s="24">
        <v>2.8960324355632779E-2</v>
      </c>
      <c r="T91" s="24">
        <v>4.3437341634691963E-2</v>
      </c>
      <c r="U91" s="22"/>
      <c r="V91" s="28">
        <v>232</v>
      </c>
      <c r="W91" s="28">
        <v>234</v>
      </c>
      <c r="X91" s="28">
        <v>226</v>
      </c>
      <c r="Y91" s="28">
        <v>225</v>
      </c>
      <c r="Z91" s="28">
        <v>226</v>
      </c>
      <c r="AA91" s="28">
        <v>233</v>
      </c>
      <c r="AB91" s="28">
        <v>231</v>
      </c>
      <c r="AC91" s="28">
        <v>229</v>
      </c>
      <c r="AD91" s="28">
        <v>231</v>
      </c>
      <c r="AE91" s="28">
        <v>231</v>
      </c>
      <c r="AF91" s="28">
        <v>231</v>
      </c>
      <c r="AG91" s="28">
        <v>232</v>
      </c>
      <c r="AH91" s="28">
        <v>228</v>
      </c>
      <c r="AI91" s="28">
        <v>230</v>
      </c>
      <c r="AJ91" s="28">
        <v>225</v>
      </c>
      <c r="AK91" s="28">
        <v>228</v>
      </c>
      <c r="AL91" s="28">
        <v>226</v>
      </c>
      <c r="AM91" s="28">
        <v>230</v>
      </c>
      <c r="AN91" s="28">
        <v>230</v>
      </c>
      <c r="AO91" s="28">
        <v>229</v>
      </c>
      <c r="AP91" s="28">
        <v>231</v>
      </c>
      <c r="AQ91" s="28">
        <v>230</v>
      </c>
      <c r="AR91" s="28">
        <v>228</v>
      </c>
      <c r="AS91" s="28">
        <v>230</v>
      </c>
      <c r="AT91" s="28">
        <v>229</v>
      </c>
      <c r="AU91" s="28">
        <v>231</v>
      </c>
      <c r="AV91" s="28">
        <v>230</v>
      </c>
      <c r="AW91" s="28">
        <v>232</v>
      </c>
      <c r="AX91" s="28">
        <v>233</v>
      </c>
      <c r="AY91" s="28">
        <v>230</v>
      </c>
      <c r="AZ91" s="28">
        <v>231</v>
      </c>
      <c r="BA91" s="28">
        <v>227</v>
      </c>
      <c r="BB91" s="28">
        <v>231</v>
      </c>
      <c r="BC91" s="28">
        <v>233</v>
      </c>
      <c r="BD91" s="28">
        <v>227</v>
      </c>
      <c r="BE91" s="28">
        <v>232</v>
      </c>
      <c r="BF91" s="28">
        <v>233</v>
      </c>
      <c r="BG91" s="28">
        <v>231</v>
      </c>
      <c r="BH91" s="28">
        <v>230</v>
      </c>
      <c r="BI91" s="28">
        <v>231</v>
      </c>
      <c r="BJ91" s="28">
        <v>234</v>
      </c>
      <c r="BK91" s="28">
        <v>225</v>
      </c>
      <c r="BL91" s="28">
        <v>231</v>
      </c>
      <c r="BM91" s="28">
        <v>233</v>
      </c>
      <c r="BN91" s="28">
        <v>228</v>
      </c>
      <c r="BO91" s="28">
        <v>233</v>
      </c>
      <c r="BP91" s="28">
        <v>231</v>
      </c>
      <c r="BQ91" s="28">
        <v>232</v>
      </c>
      <c r="BR91" s="28">
        <v>231</v>
      </c>
      <c r="BS91" s="28">
        <v>231</v>
      </c>
      <c r="BT91" s="28">
        <v>234</v>
      </c>
      <c r="BU91" s="28">
        <v>231</v>
      </c>
      <c r="BV91" s="28">
        <v>224</v>
      </c>
      <c r="BW91" s="28">
        <v>235</v>
      </c>
      <c r="BX91" s="28">
        <v>229</v>
      </c>
      <c r="BY91" s="28">
        <v>231</v>
      </c>
      <c r="BZ91" s="28">
        <v>234</v>
      </c>
      <c r="CA91" s="28">
        <v>233</v>
      </c>
      <c r="CB91" s="28">
        <v>228</v>
      </c>
      <c r="CC91" s="28">
        <v>227</v>
      </c>
    </row>
    <row r="92" spans="1:81" x14ac:dyDescent="0.25">
      <c r="A92" s="13" t="s">
        <v>287</v>
      </c>
      <c r="B92" s="14">
        <v>1</v>
      </c>
      <c r="C92" s="13" t="s">
        <v>288</v>
      </c>
      <c r="D92" s="15">
        <v>14092</v>
      </c>
      <c r="E92" s="16">
        <v>59.988545199999997</v>
      </c>
      <c r="F92" s="17">
        <v>0</v>
      </c>
      <c r="G92" s="13" t="s">
        <v>252</v>
      </c>
      <c r="H92" s="18">
        <v>234.91151440692039</v>
      </c>
      <c r="I92" s="16">
        <v>238.49272597185791</v>
      </c>
      <c r="J92" s="16">
        <v>185.0076805938599</v>
      </c>
      <c r="K92" s="16">
        <v>164.29022499119091</v>
      </c>
      <c r="L92" s="16">
        <v>165.50663069214539</v>
      </c>
      <c r="M92" s="16">
        <v>97.404020513286724</v>
      </c>
      <c r="N92" s="16">
        <v>43.418607478420952</v>
      </c>
      <c r="O92" s="16">
        <v>368.70437283386178</v>
      </c>
      <c r="P92" s="19">
        <v>4.2569220266818064</v>
      </c>
      <c r="Q92" s="19">
        <v>0.4361925689383066</v>
      </c>
      <c r="R92" s="16">
        <v>10.24666569423426</v>
      </c>
      <c r="S92" s="16">
        <v>2.1290185224611451E-2</v>
      </c>
      <c r="T92" s="16">
        <v>2.1288674425205791E-2</v>
      </c>
      <c r="U92" s="14"/>
      <c r="V92" s="20">
        <v>242</v>
      </c>
      <c r="W92" s="20">
        <v>240</v>
      </c>
      <c r="X92" s="20">
        <v>242</v>
      </c>
      <c r="Y92" s="20">
        <v>238</v>
      </c>
      <c r="Z92" s="20">
        <v>238</v>
      </c>
      <c r="AA92" s="20">
        <v>239</v>
      </c>
      <c r="AB92" s="20">
        <v>242</v>
      </c>
      <c r="AC92" s="20">
        <v>242</v>
      </c>
      <c r="AD92" s="20">
        <v>241</v>
      </c>
      <c r="AE92" s="20">
        <v>240</v>
      </c>
      <c r="AF92" s="20">
        <v>241</v>
      </c>
      <c r="AG92" s="20">
        <v>242</v>
      </c>
      <c r="AH92" s="20">
        <v>240</v>
      </c>
      <c r="AI92" s="20">
        <v>240</v>
      </c>
      <c r="AJ92" s="20">
        <v>242</v>
      </c>
      <c r="AK92" s="20">
        <v>238</v>
      </c>
      <c r="AL92" s="20">
        <v>239</v>
      </c>
      <c r="AM92" s="20">
        <v>239</v>
      </c>
      <c r="AN92" s="20">
        <v>239</v>
      </c>
      <c r="AO92" s="20">
        <v>241</v>
      </c>
      <c r="AP92" s="20">
        <v>243</v>
      </c>
      <c r="AQ92" s="20">
        <v>244</v>
      </c>
      <c r="AR92" s="20">
        <v>244</v>
      </c>
      <c r="AS92" s="20">
        <v>240</v>
      </c>
      <c r="AT92" s="20">
        <v>241</v>
      </c>
      <c r="AU92" s="20">
        <v>236</v>
      </c>
      <c r="AV92" s="20">
        <v>240</v>
      </c>
      <c r="AW92" s="20">
        <v>240</v>
      </c>
      <c r="AX92" s="20">
        <v>238</v>
      </c>
      <c r="AY92" s="20">
        <v>239</v>
      </c>
      <c r="AZ92" s="20">
        <v>232</v>
      </c>
      <c r="BA92" s="20">
        <v>229</v>
      </c>
      <c r="BB92" s="20">
        <v>231</v>
      </c>
      <c r="BC92" s="20">
        <v>230</v>
      </c>
      <c r="BD92" s="20">
        <v>229</v>
      </c>
      <c r="BE92" s="20">
        <v>223</v>
      </c>
      <c r="BF92" s="20">
        <v>231</v>
      </c>
      <c r="BG92" s="20">
        <v>231</v>
      </c>
      <c r="BH92" s="20">
        <v>231</v>
      </c>
      <c r="BI92" s="20">
        <v>229</v>
      </c>
      <c r="BJ92" s="20">
        <v>229</v>
      </c>
      <c r="BK92" s="20">
        <v>229</v>
      </c>
      <c r="BL92" s="20">
        <v>230</v>
      </c>
      <c r="BM92" s="20">
        <v>230</v>
      </c>
      <c r="BN92" s="20">
        <v>232</v>
      </c>
      <c r="BO92" s="20">
        <v>227</v>
      </c>
      <c r="BP92" s="20">
        <v>229</v>
      </c>
      <c r="BQ92" s="20">
        <v>230</v>
      </c>
      <c r="BR92" s="20">
        <v>229</v>
      </c>
      <c r="BS92" s="20">
        <v>229</v>
      </c>
      <c r="BT92" s="20">
        <v>229</v>
      </c>
      <c r="BU92" s="20">
        <v>232</v>
      </c>
      <c r="BV92" s="20">
        <v>233</v>
      </c>
      <c r="BW92" s="20">
        <v>230</v>
      </c>
      <c r="BX92" s="20">
        <v>228</v>
      </c>
      <c r="BY92" s="20">
        <v>225</v>
      </c>
      <c r="BZ92" s="20">
        <v>228</v>
      </c>
      <c r="CA92" s="20">
        <v>227</v>
      </c>
      <c r="CB92" s="20">
        <v>233</v>
      </c>
      <c r="CC92" s="20">
        <v>227</v>
      </c>
    </row>
    <row r="93" spans="1:81" x14ac:dyDescent="0.25">
      <c r="A93" s="13" t="s">
        <v>287</v>
      </c>
      <c r="B93" s="14">
        <v>2</v>
      </c>
      <c r="C93" s="13" t="s">
        <v>288</v>
      </c>
      <c r="D93" s="15">
        <v>13737</v>
      </c>
      <c r="E93" s="16">
        <v>59.988768700000001</v>
      </c>
      <c r="F93" s="17">
        <v>0</v>
      </c>
      <c r="G93" s="13" t="s">
        <v>252</v>
      </c>
      <c r="H93" s="18">
        <v>228.99286479270569</v>
      </c>
      <c r="I93" s="16">
        <v>231.18714599468271</v>
      </c>
      <c r="J93" s="16">
        <v>180.09438386469591</v>
      </c>
      <c r="K93" s="16">
        <v>156.25709016546571</v>
      </c>
      <c r="L93" s="16">
        <v>158.07298712354091</v>
      </c>
      <c r="M93" s="16">
        <v>83.031789550947465</v>
      </c>
      <c r="N93" s="16">
        <v>42.656110701138488</v>
      </c>
      <c r="O93" s="16">
        <v>380.02584175723939</v>
      </c>
      <c r="P93" s="19">
        <v>4.3669482929314993</v>
      </c>
      <c r="Q93" s="19">
        <v>0.46662282339479988</v>
      </c>
      <c r="R93" s="16">
        <v>10.6853297106836</v>
      </c>
      <c r="S93" s="16">
        <v>2.1840419336051249E-2</v>
      </c>
      <c r="T93" s="16">
        <v>2.9118439251656109E-2</v>
      </c>
      <c r="U93" s="14"/>
      <c r="V93" s="20">
        <v>227</v>
      </c>
      <c r="W93" s="20">
        <v>227</v>
      </c>
      <c r="X93" s="20">
        <v>230</v>
      </c>
      <c r="Y93" s="20">
        <v>230</v>
      </c>
      <c r="Z93" s="20">
        <v>231</v>
      </c>
      <c r="AA93" s="20">
        <v>232</v>
      </c>
      <c r="AB93" s="20">
        <v>230</v>
      </c>
      <c r="AC93" s="20">
        <v>231</v>
      </c>
      <c r="AD93" s="20">
        <v>231</v>
      </c>
      <c r="AE93" s="20">
        <v>228</v>
      </c>
      <c r="AF93" s="20">
        <v>223</v>
      </c>
      <c r="AG93" s="20">
        <v>229</v>
      </c>
      <c r="AH93" s="20">
        <v>228</v>
      </c>
      <c r="AI93" s="20">
        <v>229</v>
      </c>
      <c r="AJ93" s="20">
        <v>229</v>
      </c>
      <c r="AK93" s="20">
        <v>233</v>
      </c>
      <c r="AL93" s="20">
        <v>229</v>
      </c>
      <c r="AM93" s="20">
        <v>230</v>
      </c>
      <c r="AN93" s="20">
        <v>228</v>
      </c>
      <c r="AO93" s="20">
        <v>230</v>
      </c>
      <c r="AP93" s="20">
        <v>230</v>
      </c>
      <c r="AQ93" s="20">
        <v>226</v>
      </c>
      <c r="AR93" s="20">
        <v>230</v>
      </c>
      <c r="AS93" s="20">
        <v>233</v>
      </c>
      <c r="AT93" s="20">
        <v>230</v>
      </c>
      <c r="AU93" s="20">
        <v>230</v>
      </c>
      <c r="AV93" s="20">
        <v>226</v>
      </c>
      <c r="AW93" s="20">
        <v>230</v>
      </c>
      <c r="AX93" s="20">
        <v>228</v>
      </c>
      <c r="AY93" s="20">
        <v>230</v>
      </c>
      <c r="AZ93" s="20">
        <v>228</v>
      </c>
      <c r="BA93" s="20">
        <v>225</v>
      </c>
      <c r="BB93" s="20">
        <v>230</v>
      </c>
      <c r="BC93" s="20">
        <v>230</v>
      </c>
      <c r="BD93" s="20">
        <v>230</v>
      </c>
      <c r="BE93" s="20">
        <v>228</v>
      </c>
      <c r="BF93" s="20">
        <v>234</v>
      </c>
      <c r="BG93" s="20">
        <v>232</v>
      </c>
      <c r="BH93" s="20">
        <v>230</v>
      </c>
      <c r="BI93" s="20">
        <v>228</v>
      </c>
      <c r="BJ93" s="20">
        <v>227</v>
      </c>
      <c r="BK93" s="20">
        <v>225</v>
      </c>
      <c r="BL93" s="20">
        <v>228</v>
      </c>
      <c r="BM93" s="20">
        <v>230</v>
      </c>
      <c r="BN93" s="20">
        <v>227</v>
      </c>
      <c r="BO93" s="20">
        <v>232</v>
      </c>
      <c r="BP93" s="20">
        <v>230</v>
      </c>
      <c r="BQ93" s="20">
        <v>228</v>
      </c>
      <c r="BR93" s="20">
        <v>228</v>
      </c>
      <c r="BS93" s="20">
        <v>223</v>
      </c>
      <c r="BT93" s="20">
        <v>229</v>
      </c>
      <c r="BU93" s="20">
        <v>226</v>
      </c>
      <c r="BV93" s="20">
        <v>230</v>
      </c>
      <c r="BW93" s="20">
        <v>232</v>
      </c>
      <c r="BX93" s="20">
        <v>229</v>
      </c>
      <c r="BY93" s="20">
        <v>228</v>
      </c>
      <c r="BZ93" s="20">
        <v>229</v>
      </c>
      <c r="CA93" s="20">
        <v>229</v>
      </c>
      <c r="CB93" s="20">
        <v>227</v>
      </c>
      <c r="CC93" s="20">
        <v>227</v>
      </c>
    </row>
    <row r="94" spans="1:81" x14ac:dyDescent="0.25">
      <c r="A94" s="13" t="s">
        <v>287</v>
      </c>
      <c r="B94" s="14">
        <v>3</v>
      </c>
      <c r="C94" s="13" t="s">
        <v>288</v>
      </c>
      <c r="D94" s="15">
        <v>13704</v>
      </c>
      <c r="E94" s="16">
        <v>59.997845700000013</v>
      </c>
      <c r="F94" s="17">
        <v>0</v>
      </c>
      <c r="G94" s="13" t="s">
        <v>252</v>
      </c>
      <c r="H94" s="18">
        <v>228.4082009964568</v>
      </c>
      <c r="I94" s="16">
        <v>230.34574896920279</v>
      </c>
      <c r="J94" s="16">
        <v>180.2129432179652</v>
      </c>
      <c r="K94" s="16">
        <v>163.02131179239271</v>
      </c>
      <c r="L94" s="16">
        <v>161.38684876870991</v>
      </c>
      <c r="M94" s="16">
        <v>93.458817372124983</v>
      </c>
      <c r="N94" s="16">
        <v>37.130688885670899</v>
      </c>
      <c r="O94" s="16">
        <v>445.81160001783252</v>
      </c>
      <c r="P94" s="19">
        <v>4.3781265105078813</v>
      </c>
      <c r="Q94" s="19">
        <v>0.47822988300269309</v>
      </c>
      <c r="R94" s="16">
        <v>10.923162723939109</v>
      </c>
      <c r="S94" s="16">
        <v>1.459534408523681E-2</v>
      </c>
      <c r="T94" s="16">
        <v>1.459427904261529E-2</v>
      </c>
      <c r="U94" s="14"/>
      <c r="V94" s="20">
        <v>229</v>
      </c>
      <c r="W94" s="20">
        <v>229</v>
      </c>
      <c r="X94" s="20">
        <v>229</v>
      </c>
      <c r="Y94" s="20">
        <v>229</v>
      </c>
      <c r="Z94" s="20">
        <v>227</v>
      </c>
      <c r="AA94" s="20">
        <v>229</v>
      </c>
      <c r="AB94" s="20">
        <v>229</v>
      </c>
      <c r="AC94" s="20">
        <v>232</v>
      </c>
      <c r="AD94" s="20">
        <v>224</v>
      </c>
      <c r="AE94" s="20">
        <v>231</v>
      </c>
      <c r="AF94" s="20">
        <v>226</v>
      </c>
      <c r="AG94" s="20">
        <v>222</v>
      </c>
      <c r="AH94" s="20">
        <v>222</v>
      </c>
      <c r="AI94" s="20">
        <v>222</v>
      </c>
      <c r="AJ94" s="20">
        <v>225</v>
      </c>
      <c r="AK94" s="20">
        <v>223</v>
      </c>
      <c r="AL94" s="20">
        <v>220</v>
      </c>
      <c r="AM94" s="20">
        <v>227</v>
      </c>
      <c r="AN94" s="20">
        <v>228</v>
      </c>
      <c r="AO94" s="20">
        <v>230</v>
      </c>
      <c r="AP94" s="20">
        <v>230</v>
      </c>
      <c r="AQ94" s="20">
        <v>228</v>
      </c>
      <c r="AR94" s="20">
        <v>233</v>
      </c>
      <c r="AS94" s="20">
        <v>230</v>
      </c>
      <c r="AT94" s="20">
        <v>229</v>
      </c>
      <c r="AU94" s="20">
        <v>229</v>
      </c>
      <c r="AV94" s="20">
        <v>228</v>
      </c>
      <c r="AW94" s="20">
        <v>227</v>
      </c>
      <c r="AX94" s="20">
        <v>229</v>
      </c>
      <c r="AY94" s="20">
        <v>230</v>
      </c>
      <c r="AZ94" s="20">
        <v>229</v>
      </c>
      <c r="BA94" s="20">
        <v>228</v>
      </c>
      <c r="BB94" s="20">
        <v>229</v>
      </c>
      <c r="BC94" s="20">
        <v>232</v>
      </c>
      <c r="BD94" s="20">
        <v>227</v>
      </c>
      <c r="BE94" s="20">
        <v>231</v>
      </c>
      <c r="BF94" s="20">
        <v>228</v>
      </c>
      <c r="BG94" s="20">
        <v>230</v>
      </c>
      <c r="BH94" s="20">
        <v>231</v>
      </c>
      <c r="BI94" s="20">
        <v>231</v>
      </c>
      <c r="BJ94" s="20">
        <v>231</v>
      </c>
      <c r="BK94" s="20">
        <v>227</v>
      </c>
      <c r="BL94" s="20">
        <v>228</v>
      </c>
      <c r="BM94" s="20">
        <v>231</v>
      </c>
      <c r="BN94" s="20">
        <v>228</v>
      </c>
      <c r="BO94" s="20">
        <v>230</v>
      </c>
      <c r="BP94" s="20">
        <v>227</v>
      </c>
      <c r="BQ94" s="20">
        <v>229</v>
      </c>
      <c r="BR94" s="20">
        <v>230</v>
      </c>
      <c r="BS94" s="20">
        <v>231</v>
      </c>
      <c r="BT94" s="20">
        <v>229</v>
      </c>
      <c r="BU94" s="20">
        <v>230</v>
      </c>
      <c r="BV94" s="20">
        <v>231</v>
      </c>
      <c r="BW94" s="20">
        <v>230</v>
      </c>
      <c r="BX94" s="20">
        <v>231</v>
      </c>
      <c r="BY94" s="20">
        <v>227</v>
      </c>
      <c r="BZ94" s="20">
        <v>229</v>
      </c>
      <c r="CA94" s="20">
        <v>229</v>
      </c>
      <c r="CB94" s="20">
        <v>228</v>
      </c>
      <c r="CC94" s="20">
        <v>226</v>
      </c>
    </row>
    <row r="95" spans="1:81" x14ac:dyDescent="0.25">
      <c r="A95" s="13" t="s">
        <v>287</v>
      </c>
      <c r="B95" s="14">
        <v>4</v>
      </c>
      <c r="C95" s="13" t="s">
        <v>288</v>
      </c>
      <c r="D95" s="15">
        <v>13728</v>
      </c>
      <c r="E95" s="16">
        <v>59.989062699999998</v>
      </c>
      <c r="F95" s="17">
        <v>0</v>
      </c>
      <c r="G95" s="13" t="s">
        <v>252</v>
      </c>
      <c r="H95" s="18">
        <v>228.8417151748564</v>
      </c>
      <c r="I95" s="16">
        <v>230.92021706500401</v>
      </c>
      <c r="J95" s="16">
        <v>178.8510110268802</v>
      </c>
      <c r="K95" s="16">
        <v>159.8079415373966</v>
      </c>
      <c r="L95" s="16">
        <v>160.42922259637331</v>
      </c>
      <c r="M95" s="16">
        <v>96.673933323988194</v>
      </c>
      <c r="N95" s="16">
        <v>40.238534029728228</v>
      </c>
      <c r="O95" s="16">
        <v>344.80380663402519</v>
      </c>
      <c r="P95" s="19">
        <v>4.369832655885781</v>
      </c>
      <c r="Q95" s="19">
        <v>0.47289683046535391</v>
      </c>
      <c r="R95" s="16">
        <v>10.82185217844448</v>
      </c>
      <c r="S95" s="16">
        <v>1.4569825890580611E-2</v>
      </c>
      <c r="T95" s="16">
        <v>1.456876456876457E-2</v>
      </c>
      <c r="U95" s="14"/>
      <c r="V95" s="20">
        <v>230</v>
      </c>
      <c r="W95" s="20">
        <v>228</v>
      </c>
      <c r="X95" s="20">
        <v>226</v>
      </c>
      <c r="Y95" s="20">
        <v>228</v>
      </c>
      <c r="Z95" s="20">
        <v>227</v>
      </c>
      <c r="AA95" s="20">
        <v>230</v>
      </c>
      <c r="AB95" s="20">
        <v>228</v>
      </c>
      <c r="AC95" s="20">
        <v>231</v>
      </c>
      <c r="AD95" s="20">
        <v>231</v>
      </c>
      <c r="AE95" s="20">
        <v>229</v>
      </c>
      <c r="AF95" s="20">
        <v>230</v>
      </c>
      <c r="AG95" s="20">
        <v>226</v>
      </c>
      <c r="AH95" s="20">
        <v>226</v>
      </c>
      <c r="AI95" s="20">
        <v>227</v>
      </c>
      <c r="AJ95" s="20">
        <v>230</v>
      </c>
      <c r="AK95" s="20">
        <v>230</v>
      </c>
      <c r="AL95" s="20">
        <v>227</v>
      </c>
      <c r="AM95" s="20">
        <v>224</v>
      </c>
      <c r="AN95" s="20">
        <v>230</v>
      </c>
      <c r="AO95" s="20">
        <v>226</v>
      </c>
      <c r="AP95" s="20">
        <v>225</v>
      </c>
      <c r="AQ95" s="20">
        <v>230</v>
      </c>
      <c r="AR95" s="20">
        <v>226</v>
      </c>
      <c r="AS95" s="20">
        <v>229</v>
      </c>
      <c r="AT95" s="20">
        <v>234</v>
      </c>
      <c r="AU95" s="20">
        <v>230</v>
      </c>
      <c r="AV95" s="20">
        <v>231</v>
      </c>
      <c r="AW95" s="20">
        <v>229</v>
      </c>
      <c r="AX95" s="20">
        <v>229</v>
      </c>
      <c r="AY95" s="20">
        <v>229</v>
      </c>
      <c r="AZ95" s="20">
        <v>230</v>
      </c>
      <c r="BA95" s="20">
        <v>231</v>
      </c>
      <c r="BB95" s="20">
        <v>227</v>
      </c>
      <c r="BC95" s="20">
        <v>231</v>
      </c>
      <c r="BD95" s="20">
        <v>227</v>
      </c>
      <c r="BE95" s="20">
        <v>231</v>
      </c>
      <c r="BF95" s="20">
        <v>228</v>
      </c>
      <c r="BG95" s="20">
        <v>229</v>
      </c>
      <c r="BH95" s="20">
        <v>233</v>
      </c>
      <c r="BI95" s="20">
        <v>229</v>
      </c>
      <c r="BJ95" s="20">
        <v>229</v>
      </c>
      <c r="BK95" s="20">
        <v>229</v>
      </c>
      <c r="BL95" s="20">
        <v>227</v>
      </c>
      <c r="BM95" s="20">
        <v>228</v>
      </c>
      <c r="BN95" s="20">
        <v>229</v>
      </c>
      <c r="BO95" s="20">
        <v>227</v>
      </c>
      <c r="BP95" s="20">
        <v>229</v>
      </c>
      <c r="BQ95" s="20">
        <v>228</v>
      </c>
      <c r="BR95" s="20">
        <v>229</v>
      </c>
      <c r="BS95" s="20">
        <v>231</v>
      </c>
      <c r="BT95" s="20">
        <v>232</v>
      </c>
      <c r="BU95" s="20">
        <v>230</v>
      </c>
      <c r="BV95" s="20">
        <v>227</v>
      </c>
      <c r="BW95" s="20">
        <v>230</v>
      </c>
      <c r="BX95" s="20">
        <v>231</v>
      </c>
      <c r="BY95" s="20">
        <v>224</v>
      </c>
      <c r="BZ95" s="20">
        <v>230</v>
      </c>
      <c r="CA95" s="20">
        <v>231</v>
      </c>
      <c r="CB95" s="20">
        <v>229</v>
      </c>
      <c r="CC95" s="20">
        <v>226</v>
      </c>
    </row>
    <row r="96" spans="1:81" x14ac:dyDescent="0.25">
      <c r="A96" s="13" t="s">
        <v>287</v>
      </c>
      <c r="B96" s="14">
        <v>5</v>
      </c>
      <c r="C96" s="13" t="s">
        <v>288</v>
      </c>
      <c r="D96" s="15">
        <v>13700</v>
      </c>
      <c r="E96" s="16">
        <v>59.979700599999987</v>
      </c>
      <c r="F96" s="17">
        <v>0</v>
      </c>
      <c r="G96" s="13" t="s">
        <v>252</v>
      </c>
      <c r="H96" s="18">
        <v>228.41060997226779</v>
      </c>
      <c r="I96" s="16">
        <v>230.38024259039551</v>
      </c>
      <c r="J96" s="16">
        <v>178.89478088788329</v>
      </c>
      <c r="K96" s="16">
        <v>158.89972996420971</v>
      </c>
      <c r="L96" s="16">
        <v>157.22141110684859</v>
      </c>
      <c r="M96" s="16">
        <v>79.926084357186483</v>
      </c>
      <c r="N96" s="16">
        <v>40.865364968574532</v>
      </c>
      <c r="O96" s="16">
        <v>443.71478013932648</v>
      </c>
      <c r="P96" s="19">
        <v>4.3780803357664233</v>
      </c>
      <c r="Q96" s="19">
        <v>0.48181879936067562</v>
      </c>
      <c r="R96" s="16">
        <v>11.005252585807771</v>
      </c>
      <c r="S96" s="16">
        <v>2.919921162128623E-2</v>
      </c>
      <c r="T96" s="16">
        <v>2.9197080291970798E-2</v>
      </c>
      <c r="U96" s="14"/>
      <c r="V96" s="20">
        <v>222</v>
      </c>
      <c r="W96" s="20">
        <v>225</v>
      </c>
      <c r="X96" s="20">
        <v>232</v>
      </c>
      <c r="Y96" s="20">
        <v>228</v>
      </c>
      <c r="Z96" s="20">
        <v>230</v>
      </c>
      <c r="AA96" s="20">
        <v>231</v>
      </c>
      <c r="AB96" s="20">
        <v>230</v>
      </c>
      <c r="AC96" s="20">
        <v>228</v>
      </c>
      <c r="AD96" s="20">
        <v>228</v>
      </c>
      <c r="AE96" s="20">
        <v>228</v>
      </c>
      <c r="AF96" s="20">
        <v>228</v>
      </c>
      <c r="AG96" s="20">
        <v>228</v>
      </c>
      <c r="AH96" s="20">
        <v>229</v>
      </c>
      <c r="AI96" s="20">
        <v>226</v>
      </c>
      <c r="AJ96" s="20">
        <v>231</v>
      </c>
      <c r="AK96" s="20">
        <v>228</v>
      </c>
      <c r="AL96" s="20">
        <v>229</v>
      </c>
      <c r="AM96" s="20">
        <v>227</v>
      </c>
      <c r="AN96" s="20">
        <v>228</v>
      </c>
      <c r="AO96" s="20">
        <v>230</v>
      </c>
      <c r="AP96" s="20">
        <v>232</v>
      </c>
      <c r="AQ96" s="20">
        <v>229</v>
      </c>
      <c r="AR96" s="20">
        <v>231</v>
      </c>
      <c r="AS96" s="20">
        <v>232</v>
      </c>
      <c r="AT96" s="20">
        <v>229</v>
      </c>
      <c r="AU96" s="20">
        <v>231</v>
      </c>
      <c r="AV96" s="20">
        <v>230</v>
      </c>
      <c r="AW96" s="20">
        <v>225</v>
      </c>
      <c r="AX96" s="20">
        <v>229</v>
      </c>
      <c r="AY96" s="20">
        <v>229</v>
      </c>
      <c r="AZ96" s="20">
        <v>230</v>
      </c>
      <c r="BA96" s="20">
        <v>228</v>
      </c>
      <c r="BB96" s="20">
        <v>229</v>
      </c>
      <c r="BC96" s="20">
        <v>228</v>
      </c>
      <c r="BD96" s="20">
        <v>226</v>
      </c>
      <c r="BE96" s="20">
        <v>228</v>
      </c>
      <c r="BF96" s="20">
        <v>229</v>
      </c>
      <c r="BG96" s="20">
        <v>227</v>
      </c>
      <c r="BH96" s="20">
        <v>229</v>
      </c>
      <c r="BI96" s="20">
        <v>229</v>
      </c>
      <c r="BJ96" s="20">
        <v>228</v>
      </c>
      <c r="BK96" s="20">
        <v>229</v>
      </c>
      <c r="BL96" s="20">
        <v>221</v>
      </c>
      <c r="BM96" s="20">
        <v>229</v>
      </c>
      <c r="BN96" s="20">
        <v>231</v>
      </c>
      <c r="BO96" s="20">
        <v>231</v>
      </c>
      <c r="BP96" s="20">
        <v>229</v>
      </c>
      <c r="BQ96" s="20">
        <v>225</v>
      </c>
      <c r="BR96" s="20">
        <v>228</v>
      </c>
      <c r="BS96" s="20">
        <v>228</v>
      </c>
      <c r="BT96" s="20">
        <v>227</v>
      </c>
      <c r="BU96" s="20">
        <v>226</v>
      </c>
      <c r="BV96" s="20">
        <v>229</v>
      </c>
      <c r="BW96" s="20">
        <v>227</v>
      </c>
      <c r="BX96" s="20">
        <v>228</v>
      </c>
      <c r="BY96" s="20">
        <v>229</v>
      </c>
      <c r="BZ96" s="20">
        <v>229</v>
      </c>
      <c r="CA96" s="20">
        <v>227</v>
      </c>
      <c r="CB96" s="20">
        <v>229</v>
      </c>
      <c r="CC96" s="20">
        <v>224</v>
      </c>
    </row>
    <row r="97" spans="1:81" x14ac:dyDescent="0.25">
      <c r="A97" s="21" t="s">
        <v>289</v>
      </c>
      <c r="B97" s="22">
        <v>1</v>
      </c>
      <c r="C97" s="21" t="s">
        <v>290</v>
      </c>
      <c r="D97" s="23">
        <v>13824</v>
      </c>
      <c r="E97" s="24">
        <v>59.995539800000003</v>
      </c>
      <c r="F97" s="25">
        <v>0</v>
      </c>
      <c r="G97" s="21" t="s">
        <v>252</v>
      </c>
      <c r="H97" s="26">
        <v>230.41712844127119</v>
      </c>
      <c r="I97" s="24">
        <v>233.83608090728401</v>
      </c>
      <c r="J97" s="24">
        <v>175.72431806663889</v>
      </c>
      <c r="K97" s="24">
        <v>157.07220427026309</v>
      </c>
      <c r="L97" s="24">
        <v>156.45802988381661</v>
      </c>
      <c r="M97" s="24">
        <v>91.33963272333682</v>
      </c>
      <c r="N97" s="24">
        <v>39.228916418870682</v>
      </c>
      <c r="O97" s="24">
        <v>447.62757385854968</v>
      </c>
      <c r="P97" s="27">
        <v>4.3399551359953712</v>
      </c>
      <c r="Q97" s="27">
        <v>0.49826726048401088</v>
      </c>
      <c r="R97" s="24">
        <v>11.48093113570247</v>
      </c>
      <c r="S97" s="24">
        <v>1.4468639224480939E-2</v>
      </c>
      <c r="T97" s="24">
        <v>1.4467592592592589E-2</v>
      </c>
      <c r="U97" s="22"/>
      <c r="V97" s="28">
        <v>232</v>
      </c>
      <c r="W97" s="28">
        <v>226</v>
      </c>
      <c r="X97" s="28">
        <v>228</v>
      </c>
      <c r="Y97" s="28">
        <v>231</v>
      </c>
      <c r="Z97" s="28">
        <v>231</v>
      </c>
      <c r="AA97" s="28">
        <v>231</v>
      </c>
      <c r="AB97" s="28">
        <v>231</v>
      </c>
      <c r="AC97" s="28">
        <v>229</v>
      </c>
      <c r="AD97" s="28">
        <v>232</v>
      </c>
      <c r="AE97" s="28">
        <v>230</v>
      </c>
      <c r="AF97" s="28">
        <v>231</v>
      </c>
      <c r="AG97" s="28">
        <v>227</v>
      </c>
      <c r="AH97" s="28">
        <v>230</v>
      </c>
      <c r="AI97" s="28">
        <v>226</v>
      </c>
      <c r="AJ97" s="28">
        <v>230</v>
      </c>
      <c r="AK97" s="28">
        <v>231</v>
      </c>
      <c r="AL97" s="28">
        <v>231</v>
      </c>
      <c r="AM97" s="28">
        <v>230</v>
      </c>
      <c r="AN97" s="28">
        <v>229</v>
      </c>
      <c r="AO97" s="28">
        <v>231</v>
      </c>
      <c r="AP97" s="28">
        <v>231</v>
      </c>
      <c r="AQ97" s="28">
        <v>226</v>
      </c>
      <c r="AR97" s="28">
        <v>231</v>
      </c>
      <c r="AS97" s="28">
        <v>232</v>
      </c>
      <c r="AT97" s="28">
        <v>230</v>
      </c>
      <c r="AU97" s="28">
        <v>232</v>
      </c>
      <c r="AV97" s="28">
        <v>229</v>
      </c>
      <c r="AW97" s="28">
        <v>231</v>
      </c>
      <c r="AX97" s="28">
        <v>229</v>
      </c>
      <c r="AY97" s="28">
        <v>231</v>
      </c>
      <c r="AZ97" s="28">
        <v>234</v>
      </c>
      <c r="BA97" s="28">
        <v>228</v>
      </c>
      <c r="BB97" s="28">
        <v>230</v>
      </c>
      <c r="BC97" s="28">
        <v>230</v>
      </c>
      <c r="BD97" s="28">
        <v>235</v>
      </c>
      <c r="BE97" s="28">
        <v>232</v>
      </c>
      <c r="BF97" s="28">
        <v>235</v>
      </c>
      <c r="BG97" s="28">
        <v>230</v>
      </c>
      <c r="BH97" s="28">
        <v>231</v>
      </c>
      <c r="BI97" s="28">
        <v>231</v>
      </c>
      <c r="BJ97" s="28">
        <v>231</v>
      </c>
      <c r="BK97" s="28">
        <v>230</v>
      </c>
      <c r="BL97" s="28">
        <v>229</v>
      </c>
      <c r="BM97" s="28">
        <v>232</v>
      </c>
      <c r="BN97" s="28">
        <v>232</v>
      </c>
      <c r="BO97" s="28">
        <v>230</v>
      </c>
      <c r="BP97" s="28">
        <v>229</v>
      </c>
      <c r="BQ97" s="28">
        <v>231</v>
      </c>
      <c r="BR97" s="28">
        <v>231</v>
      </c>
      <c r="BS97" s="28">
        <v>231</v>
      </c>
      <c r="BT97" s="28">
        <v>232</v>
      </c>
      <c r="BU97" s="28">
        <v>230</v>
      </c>
      <c r="BV97" s="28">
        <v>232</v>
      </c>
      <c r="BW97" s="28">
        <v>233</v>
      </c>
      <c r="BX97" s="28">
        <v>233</v>
      </c>
      <c r="BY97" s="28">
        <v>230</v>
      </c>
      <c r="BZ97" s="28">
        <v>229</v>
      </c>
      <c r="CA97" s="28">
        <v>231</v>
      </c>
      <c r="CB97" s="28">
        <v>225</v>
      </c>
      <c r="CC97" s="28">
        <v>228</v>
      </c>
    </row>
    <row r="98" spans="1:81" x14ac:dyDescent="0.25">
      <c r="A98" s="21" t="s">
        <v>289</v>
      </c>
      <c r="B98" s="22">
        <v>2</v>
      </c>
      <c r="C98" s="21" t="s">
        <v>290</v>
      </c>
      <c r="D98" s="23">
        <v>13845</v>
      </c>
      <c r="E98" s="24">
        <v>60.003485199999993</v>
      </c>
      <c r="F98" s="25">
        <v>0</v>
      </c>
      <c r="G98" s="21" t="s">
        <v>252</v>
      </c>
      <c r="H98" s="26">
        <v>230.736597280186</v>
      </c>
      <c r="I98" s="24">
        <v>234.04952487946451</v>
      </c>
      <c r="J98" s="24">
        <v>177.34496148776819</v>
      </c>
      <c r="K98" s="24">
        <v>158.8947131216332</v>
      </c>
      <c r="L98" s="24">
        <v>157.29924807647851</v>
      </c>
      <c r="M98" s="24">
        <v>91.870389254839267</v>
      </c>
      <c r="N98" s="24">
        <v>41.850284791188002</v>
      </c>
      <c r="O98" s="24">
        <v>464.85682409817781</v>
      </c>
      <c r="P98" s="27">
        <v>4.3339462044059216</v>
      </c>
      <c r="Q98" s="27">
        <v>0.49290155036535899</v>
      </c>
      <c r="R98" s="24">
        <v>11.373042652543109</v>
      </c>
      <c r="S98" s="24">
        <v>1.444669170759896E-2</v>
      </c>
      <c r="T98" s="24">
        <v>1.444564824846515E-2</v>
      </c>
      <c r="U98" s="22"/>
      <c r="V98" s="28">
        <v>230</v>
      </c>
      <c r="W98" s="28">
        <v>236</v>
      </c>
      <c r="X98" s="28">
        <v>228</v>
      </c>
      <c r="Y98" s="28">
        <v>230</v>
      </c>
      <c r="Z98" s="28">
        <v>232</v>
      </c>
      <c r="AA98" s="28">
        <v>231</v>
      </c>
      <c r="AB98" s="28">
        <v>235</v>
      </c>
      <c r="AC98" s="28">
        <v>226</v>
      </c>
      <c r="AD98" s="28">
        <v>235</v>
      </c>
      <c r="AE98" s="28">
        <v>230</v>
      </c>
      <c r="AF98" s="28">
        <v>233</v>
      </c>
      <c r="AG98" s="28">
        <v>227</v>
      </c>
      <c r="AH98" s="28">
        <v>229</v>
      </c>
      <c r="AI98" s="28">
        <v>229</v>
      </c>
      <c r="AJ98" s="28">
        <v>228</v>
      </c>
      <c r="AK98" s="28">
        <v>230</v>
      </c>
      <c r="AL98" s="28">
        <v>234</v>
      </c>
      <c r="AM98" s="28">
        <v>226</v>
      </c>
      <c r="AN98" s="28">
        <v>230</v>
      </c>
      <c r="AO98" s="28">
        <v>232</v>
      </c>
      <c r="AP98" s="28">
        <v>234</v>
      </c>
      <c r="AQ98" s="28">
        <v>231</v>
      </c>
      <c r="AR98" s="28">
        <v>237</v>
      </c>
      <c r="AS98" s="28">
        <v>233</v>
      </c>
      <c r="AT98" s="28">
        <v>233</v>
      </c>
      <c r="AU98" s="28">
        <v>233</v>
      </c>
      <c r="AV98" s="28">
        <v>234</v>
      </c>
      <c r="AW98" s="28">
        <v>229</v>
      </c>
      <c r="AX98" s="28">
        <v>232</v>
      </c>
      <c r="AY98" s="28">
        <v>231</v>
      </c>
      <c r="AZ98" s="28">
        <v>232</v>
      </c>
      <c r="BA98" s="28">
        <v>234</v>
      </c>
      <c r="BB98" s="28">
        <v>231</v>
      </c>
      <c r="BC98" s="28">
        <v>230</v>
      </c>
      <c r="BD98" s="28">
        <v>231</v>
      </c>
      <c r="BE98" s="28">
        <v>233</v>
      </c>
      <c r="BF98" s="28">
        <v>231</v>
      </c>
      <c r="BG98" s="28">
        <v>227</v>
      </c>
      <c r="BH98" s="28">
        <v>229</v>
      </c>
      <c r="BI98" s="28">
        <v>232</v>
      </c>
      <c r="BJ98" s="28">
        <v>231</v>
      </c>
      <c r="BK98" s="28">
        <v>232</v>
      </c>
      <c r="BL98" s="28">
        <v>229</v>
      </c>
      <c r="BM98" s="28">
        <v>233</v>
      </c>
      <c r="BN98" s="28">
        <v>230</v>
      </c>
      <c r="BO98" s="28">
        <v>224</v>
      </c>
      <c r="BP98" s="28">
        <v>234</v>
      </c>
      <c r="BQ98" s="28">
        <v>229</v>
      </c>
      <c r="BR98" s="28">
        <v>230</v>
      </c>
      <c r="BS98" s="28">
        <v>229</v>
      </c>
      <c r="BT98" s="28">
        <v>232</v>
      </c>
      <c r="BU98" s="28">
        <v>232</v>
      </c>
      <c r="BV98" s="28">
        <v>230</v>
      </c>
      <c r="BW98" s="28">
        <v>231</v>
      </c>
      <c r="BX98" s="28">
        <v>228</v>
      </c>
      <c r="BY98" s="28">
        <v>230</v>
      </c>
      <c r="BZ98" s="28">
        <v>232</v>
      </c>
      <c r="CA98" s="28">
        <v>226</v>
      </c>
      <c r="CB98" s="28">
        <v>224</v>
      </c>
      <c r="CC98" s="28">
        <v>230</v>
      </c>
    </row>
    <row r="99" spans="1:81" x14ac:dyDescent="0.25">
      <c r="A99" s="21" t="s">
        <v>289</v>
      </c>
      <c r="B99" s="22">
        <v>3</v>
      </c>
      <c r="C99" s="21" t="s">
        <v>290</v>
      </c>
      <c r="D99" s="23">
        <v>13774</v>
      </c>
      <c r="E99" s="24">
        <v>60.002842000000001</v>
      </c>
      <c r="F99" s="25">
        <v>0</v>
      </c>
      <c r="G99" s="21" t="s">
        <v>252</v>
      </c>
      <c r="H99" s="26">
        <v>229.55579337392049</v>
      </c>
      <c r="I99" s="24">
        <v>233.13827431049361</v>
      </c>
      <c r="J99" s="24">
        <v>175.6415703550752</v>
      </c>
      <c r="K99" s="24">
        <v>153.72840498309341</v>
      </c>
      <c r="L99" s="24">
        <v>154.21041696341121</v>
      </c>
      <c r="M99" s="24">
        <v>81.449939238345323</v>
      </c>
      <c r="N99" s="24">
        <v>37.973289588103732</v>
      </c>
      <c r="O99" s="24">
        <v>408.14660626096901</v>
      </c>
      <c r="P99" s="27">
        <v>4.3562394366197186</v>
      </c>
      <c r="Q99" s="27">
        <v>0.50916689975588136</v>
      </c>
      <c r="R99" s="24">
        <v>11.68822116332008</v>
      </c>
      <c r="S99" s="24">
        <v>2.904232919480142E-2</v>
      </c>
      <c r="T99" s="24">
        <v>2.178016552925802E-2</v>
      </c>
      <c r="U99" s="22"/>
      <c r="V99" s="28">
        <v>232</v>
      </c>
      <c r="W99" s="28">
        <v>228</v>
      </c>
      <c r="X99" s="28">
        <v>225</v>
      </c>
      <c r="Y99" s="28">
        <v>230</v>
      </c>
      <c r="Z99" s="28">
        <v>230</v>
      </c>
      <c r="AA99" s="28">
        <v>232</v>
      </c>
      <c r="AB99" s="28">
        <v>230</v>
      </c>
      <c r="AC99" s="28">
        <v>231</v>
      </c>
      <c r="AD99" s="28">
        <v>230</v>
      </c>
      <c r="AE99" s="28">
        <v>227</v>
      </c>
      <c r="AF99" s="28">
        <v>230</v>
      </c>
      <c r="AG99" s="28">
        <v>229</v>
      </c>
      <c r="AH99" s="28">
        <v>226</v>
      </c>
      <c r="AI99" s="28">
        <v>229</v>
      </c>
      <c r="AJ99" s="28">
        <v>230</v>
      </c>
      <c r="AK99" s="28">
        <v>229</v>
      </c>
      <c r="AL99" s="28">
        <v>230</v>
      </c>
      <c r="AM99" s="28">
        <v>230</v>
      </c>
      <c r="AN99" s="28">
        <v>230</v>
      </c>
      <c r="AO99" s="28">
        <v>231</v>
      </c>
      <c r="AP99" s="28">
        <v>230</v>
      </c>
      <c r="AQ99" s="28">
        <v>232</v>
      </c>
      <c r="AR99" s="28">
        <v>228</v>
      </c>
      <c r="AS99" s="28">
        <v>236</v>
      </c>
      <c r="AT99" s="28">
        <v>234</v>
      </c>
      <c r="AU99" s="28">
        <v>231</v>
      </c>
      <c r="AV99" s="28">
        <v>232</v>
      </c>
      <c r="AW99" s="28">
        <v>232</v>
      </c>
      <c r="AX99" s="28">
        <v>229</v>
      </c>
      <c r="AY99" s="28">
        <v>228</v>
      </c>
      <c r="AZ99" s="28">
        <v>226</v>
      </c>
      <c r="BA99" s="28">
        <v>227</v>
      </c>
      <c r="BB99" s="28">
        <v>226</v>
      </c>
      <c r="BC99" s="28">
        <v>228</v>
      </c>
      <c r="BD99" s="28">
        <v>230</v>
      </c>
      <c r="BE99" s="28">
        <v>222</v>
      </c>
      <c r="BF99" s="28">
        <v>232</v>
      </c>
      <c r="BG99" s="28">
        <v>232</v>
      </c>
      <c r="BH99" s="28">
        <v>234</v>
      </c>
      <c r="BI99" s="28">
        <v>229</v>
      </c>
      <c r="BJ99" s="28">
        <v>228</v>
      </c>
      <c r="BK99" s="28">
        <v>229</v>
      </c>
      <c r="BL99" s="28">
        <v>227</v>
      </c>
      <c r="BM99" s="28">
        <v>231</v>
      </c>
      <c r="BN99" s="28">
        <v>229</v>
      </c>
      <c r="BO99" s="28">
        <v>229</v>
      </c>
      <c r="BP99" s="28">
        <v>233</v>
      </c>
      <c r="BQ99" s="28">
        <v>234</v>
      </c>
      <c r="BR99" s="28">
        <v>230</v>
      </c>
      <c r="BS99" s="28">
        <v>228</v>
      </c>
      <c r="BT99" s="28">
        <v>230</v>
      </c>
      <c r="BU99" s="28">
        <v>232</v>
      </c>
      <c r="BV99" s="28">
        <v>226</v>
      </c>
      <c r="BW99" s="28">
        <v>231</v>
      </c>
      <c r="BX99" s="28">
        <v>229</v>
      </c>
      <c r="BY99" s="28">
        <v>228</v>
      </c>
      <c r="BZ99" s="28">
        <v>229</v>
      </c>
      <c r="CA99" s="28">
        <v>227</v>
      </c>
      <c r="CB99" s="28">
        <v>227</v>
      </c>
      <c r="CC99" s="28">
        <v>229</v>
      </c>
    </row>
    <row r="100" spans="1:81" x14ac:dyDescent="0.25">
      <c r="A100" s="21" t="s">
        <v>289</v>
      </c>
      <c r="B100" s="22">
        <v>4</v>
      </c>
      <c r="C100" s="21" t="s">
        <v>290</v>
      </c>
      <c r="D100" s="23">
        <v>13705</v>
      </c>
      <c r="E100" s="24">
        <v>59.996454900000003</v>
      </c>
      <c r="F100" s="25">
        <v>0</v>
      </c>
      <c r="G100" s="21" t="s">
        <v>252</v>
      </c>
      <c r="H100" s="26">
        <v>228.4301634628749</v>
      </c>
      <c r="I100" s="24">
        <v>231.535077564251</v>
      </c>
      <c r="J100" s="24">
        <v>174.37241623672259</v>
      </c>
      <c r="K100" s="24">
        <v>155.3581278276701</v>
      </c>
      <c r="L100" s="24">
        <v>154.861166963817</v>
      </c>
      <c r="M100" s="24">
        <v>81.030448001140911</v>
      </c>
      <c r="N100" s="24">
        <v>37.522748166075679</v>
      </c>
      <c r="O100" s="24">
        <v>442.77175116227579</v>
      </c>
      <c r="P100" s="27">
        <v>4.3777055746078073</v>
      </c>
      <c r="Q100" s="27">
        <v>0.51261813163140202</v>
      </c>
      <c r="R100" s="24">
        <v>11.709744360259471</v>
      </c>
      <c r="S100" s="24">
        <v>2.1891418563922939E-2</v>
      </c>
      <c r="T100" s="24">
        <v>2.1889821233126591E-2</v>
      </c>
      <c r="U100" s="22"/>
      <c r="V100" s="28">
        <v>231</v>
      </c>
      <c r="W100" s="28">
        <v>228</v>
      </c>
      <c r="X100" s="28">
        <v>229</v>
      </c>
      <c r="Y100" s="28">
        <v>233</v>
      </c>
      <c r="Z100" s="28">
        <v>231</v>
      </c>
      <c r="AA100" s="28">
        <v>232</v>
      </c>
      <c r="AB100" s="28">
        <v>233</v>
      </c>
      <c r="AC100" s="28">
        <v>232</v>
      </c>
      <c r="AD100" s="28">
        <v>229</v>
      </c>
      <c r="AE100" s="28">
        <v>231</v>
      </c>
      <c r="AF100" s="28">
        <v>231</v>
      </c>
      <c r="AG100" s="28">
        <v>231</v>
      </c>
      <c r="AH100" s="28">
        <v>231</v>
      </c>
      <c r="AI100" s="28">
        <v>230</v>
      </c>
      <c r="AJ100" s="28">
        <v>232</v>
      </c>
      <c r="AK100" s="28">
        <v>225</v>
      </c>
      <c r="AL100" s="28">
        <v>229</v>
      </c>
      <c r="AM100" s="28">
        <v>230</v>
      </c>
      <c r="AN100" s="28">
        <v>221</v>
      </c>
      <c r="AO100" s="28">
        <v>232</v>
      </c>
      <c r="AP100" s="28">
        <v>231</v>
      </c>
      <c r="AQ100" s="28">
        <v>234</v>
      </c>
      <c r="AR100" s="28">
        <v>234</v>
      </c>
      <c r="AS100" s="28">
        <v>230</v>
      </c>
      <c r="AT100" s="28">
        <v>227</v>
      </c>
      <c r="AU100" s="28">
        <v>228</v>
      </c>
      <c r="AV100" s="28">
        <v>228</v>
      </c>
      <c r="AW100" s="28">
        <v>229</v>
      </c>
      <c r="AX100" s="28">
        <v>226</v>
      </c>
      <c r="AY100" s="28">
        <v>230</v>
      </c>
      <c r="AZ100" s="28">
        <v>231</v>
      </c>
      <c r="BA100" s="28">
        <v>230</v>
      </c>
      <c r="BB100" s="28">
        <v>228</v>
      </c>
      <c r="BC100" s="28">
        <v>231</v>
      </c>
      <c r="BD100" s="28">
        <v>228</v>
      </c>
      <c r="BE100" s="28">
        <v>226</v>
      </c>
      <c r="BF100" s="28">
        <v>229</v>
      </c>
      <c r="BG100" s="28">
        <v>230</v>
      </c>
      <c r="BH100" s="28">
        <v>226</v>
      </c>
      <c r="BI100" s="28">
        <v>231</v>
      </c>
      <c r="BJ100" s="28">
        <v>227</v>
      </c>
      <c r="BK100" s="28">
        <v>228</v>
      </c>
      <c r="BL100" s="28">
        <v>228</v>
      </c>
      <c r="BM100" s="28">
        <v>228</v>
      </c>
      <c r="BN100" s="28">
        <v>228</v>
      </c>
      <c r="BO100" s="28">
        <v>218</v>
      </c>
      <c r="BP100" s="28">
        <v>219</v>
      </c>
      <c r="BQ100" s="28">
        <v>218</v>
      </c>
      <c r="BR100" s="28">
        <v>216</v>
      </c>
      <c r="BS100" s="28">
        <v>220</v>
      </c>
      <c r="BT100" s="28">
        <v>221</v>
      </c>
      <c r="BU100" s="28">
        <v>230</v>
      </c>
      <c r="BV100" s="28">
        <v>230</v>
      </c>
      <c r="BW100" s="28">
        <v>231</v>
      </c>
      <c r="BX100" s="28">
        <v>231</v>
      </c>
      <c r="BY100" s="28">
        <v>228</v>
      </c>
      <c r="BZ100" s="28">
        <v>231</v>
      </c>
      <c r="CA100" s="28">
        <v>230</v>
      </c>
      <c r="CB100" s="28">
        <v>226</v>
      </c>
      <c r="CC100" s="28">
        <v>229</v>
      </c>
    </row>
    <row r="101" spans="1:81" x14ac:dyDescent="0.25">
      <c r="A101" s="21" t="s">
        <v>289</v>
      </c>
      <c r="B101" s="22">
        <v>5</v>
      </c>
      <c r="C101" s="21" t="s">
        <v>290</v>
      </c>
      <c r="D101" s="23">
        <v>13743</v>
      </c>
      <c r="E101" s="24">
        <v>59.990656399999999</v>
      </c>
      <c r="F101" s="25">
        <v>0</v>
      </c>
      <c r="G101" s="21" t="s">
        <v>252</v>
      </c>
      <c r="H101" s="26">
        <v>229.08567474850969</v>
      </c>
      <c r="I101" s="24">
        <v>232.2934330646473</v>
      </c>
      <c r="J101" s="24">
        <v>174.532253560458</v>
      </c>
      <c r="K101" s="24">
        <v>151.86669991534919</v>
      </c>
      <c r="L101" s="24">
        <v>151.62259503237729</v>
      </c>
      <c r="M101" s="24">
        <v>76.396528541743052</v>
      </c>
      <c r="N101" s="24">
        <v>43.654396870852842</v>
      </c>
      <c r="O101" s="24">
        <v>536.73984219848637</v>
      </c>
      <c r="P101" s="27">
        <v>4.3651791020883346</v>
      </c>
      <c r="Q101" s="27">
        <v>0.50581083844978081</v>
      </c>
      <c r="R101" s="24">
        <v>11.58740172213775</v>
      </c>
      <c r="S101" s="24">
        <v>3.6384805705137538E-2</v>
      </c>
      <c r="T101" s="24">
        <v>2.9105726551699049E-2</v>
      </c>
      <c r="U101" s="22"/>
      <c r="V101" s="28">
        <v>221</v>
      </c>
      <c r="W101" s="28">
        <v>226</v>
      </c>
      <c r="X101" s="28">
        <v>231</v>
      </c>
      <c r="Y101" s="28">
        <v>227</v>
      </c>
      <c r="Z101" s="28">
        <v>227</v>
      </c>
      <c r="AA101" s="28">
        <v>229</v>
      </c>
      <c r="AB101" s="28">
        <v>228</v>
      </c>
      <c r="AC101" s="28">
        <v>230</v>
      </c>
      <c r="AD101" s="28">
        <v>233</v>
      </c>
      <c r="AE101" s="28">
        <v>231</v>
      </c>
      <c r="AF101" s="28">
        <v>230</v>
      </c>
      <c r="AG101" s="28">
        <v>231</v>
      </c>
      <c r="AH101" s="28">
        <v>230</v>
      </c>
      <c r="AI101" s="28">
        <v>221</v>
      </c>
      <c r="AJ101" s="28">
        <v>230</v>
      </c>
      <c r="AK101" s="28">
        <v>228</v>
      </c>
      <c r="AL101" s="28">
        <v>228</v>
      </c>
      <c r="AM101" s="28">
        <v>231</v>
      </c>
      <c r="AN101" s="28">
        <v>229</v>
      </c>
      <c r="AO101" s="28">
        <v>230</v>
      </c>
      <c r="AP101" s="28">
        <v>230</v>
      </c>
      <c r="AQ101" s="28">
        <v>227</v>
      </c>
      <c r="AR101" s="28">
        <v>230</v>
      </c>
      <c r="AS101" s="28">
        <v>222</v>
      </c>
      <c r="AT101" s="28">
        <v>230</v>
      </c>
      <c r="AU101" s="28">
        <v>230</v>
      </c>
      <c r="AV101" s="28">
        <v>229</v>
      </c>
      <c r="AW101" s="28">
        <v>229</v>
      </c>
      <c r="AX101" s="28">
        <v>228</v>
      </c>
      <c r="AY101" s="28">
        <v>227</v>
      </c>
      <c r="AZ101" s="28">
        <v>228</v>
      </c>
      <c r="BA101" s="28">
        <v>229</v>
      </c>
      <c r="BB101" s="28">
        <v>229</v>
      </c>
      <c r="BC101" s="28">
        <v>223</v>
      </c>
      <c r="BD101" s="28">
        <v>231</v>
      </c>
      <c r="BE101" s="28">
        <v>229</v>
      </c>
      <c r="BF101" s="28">
        <v>228</v>
      </c>
      <c r="BG101" s="28">
        <v>230</v>
      </c>
      <c r="BH101" s="28">
        <v>231</v>
      </c>
      <c r="BI101" s="28">
        <v>230</v>
      </c>
      <c r="BJ101" s="28">
        <v>230</v>
      </c>
      <c r="BK101" s="28">
        <v>228</v>
      </c>
      <c r="BL101" s="28">
        <v>230</v>
      </c>
      <c r="BM101" s="28">
        <v>227</v>
      </c>
      <c r="BN101" s="28">
        <v>230</v>
      </c>
      <c r="BO101" s="28">
        <v>231</v>
      </c>
      <c r="BP101" s="28">
        <v>231</v>
      </c>
      <c r="BQ101" s="28">
        <v>230</v>
      </c>
      <c r="BR101" s="28">
        <v>229</v>
      </c>
      <c r="BS101" s="28">
        <v>234</v>
      </c>
      <c r="BT101" s="28">
        <v>231</v>
      </c>
      <c r="BU101" s="28">
        <v>231</v>
      </c>
      <c r="BV101" s="28">
        <v>231</v>
      </c>
      <c r="BW101" s="28">
        <v>227</v>
      </c>
      <c r="BX101" s="28">
        <v>232</v>
      </c>
      <c r="BY101" s="28">
        <v>230</v>
      </c>
      <c r="BZ101" s="28">
        <v>231</v>
      </c>
      <c r="CA101" s="28">
        <v>231</v>
      </c>
      <c r="CB101" s="28">
        <v>232</v>
      </c>
      <c r="CC101" s="28">
        <v>226</v>
      </c>
    </row>
    <row r="102" spans="1:81" x14ac:dyDescent="0.25">
      <c r="A102" s="13" t="s">
        <v>291</v>
      </c>
      <c r="B102" s="14">
        <v>1</v>
      </c>
      <c r="C102" s="13" t="s">
        <v>292</v>
      </c>
      <c r="D102" s="15">
        <v>13793</v>
      </c>
      <c r="E102" s="16">
        <v>59.994454499999989</v>
      </c>
      <c r="F102" s="17">
        <v>0</v>
      </c>
      <c r="G102" s="13" t="s">
        <v>252</v>
      </c>
      <c r="H102" s="18">
        <v>229.9045822643491</v>
      </c>
      <c r="I102" s="16">
        <v>233.13283909171449</v>
      </c>
      <c r="J102" s="16">
        <v>175.93306098895491</v>
      </c>
      <c r="K102" s="16">
        <v>155.3949586643156</v>
      </c>
      <c r="L102" s="16">
        <v>154.64735248721169</v>
      </c>
      <c r="M102" s="16">
        <v>80.543312971983809</v>
      </c>
      <c r="N102" s="16">
        <v>41.466074531122374</v>
      </c>
      <c r="O102" s="16">
        <v>438.28892005610089</v>
      </c>
      <c r="P102" s="19">
        <v>4.3496305734793008</v>
      </c>
      <c r="Q102" s="19">
        <v>0.50210588523845612</v>
      </c>
      <c r="R102" s="16">
        <v>11.543644379821851</v>
      </c>
      <c r="S102" s="16">
        <v>3.6252900232018562E-2</v>
      </c>
      <c r="T102" s="16">
        <v>2.9000217501631259E-2</v>
      </c>
      <c r="U102" s="14"/>
      <c r="V102" s="20">
        <v>233</v>
      </c>
      <c r="W102" s="20">
        <v>232</v>
      </c>
      <c r="X102" s="20">
        <v>230</v>
      </c>
      <c r="Y102" s="20">
        <v>226</v>
      </c>
      <c r="Z102" s="20">
        <v>231</v>
      </c>
      <c r="AA102" s="20">
        <v>230</v>
      </c>
      <c r="AB102" s="20">
        <v>233</v>
      </c>
      <c r="AC102" s="20">
        <v>233</v>
      </c>
      <c r="AD102" s="20">
        <v>232</v>
      </c>
      <c r="AE102" s="20">
        <v>229</v>
      </c>
      <c r="AF102" s="20">
        <v>233</v>
      </c>
      <c r="AG102" s="20">
        <v>232</v>
      </c>
      <c r="AH102" s="20">
        <v>232</v>
      </c>
      <c r="AI102" s="20">
        <v>227</v>
      </c>
      <c r="AJ102" s="20">
        <v>233</v>
      </c>
      <c r="AK102" s="20">
        <v>231</v>
      </c>
      <c r="AL102" s="20">
        <v>233</v>
      </c>
      <c r="AM102" s="20">
        <v>232</v>
      </c>
      <c r="AN102" s="20">
        <v>230</v>
      </c>
      <c r="AO102" s="20">
        <v>230</v>
      </c>
      <c r="AP102" s="20">
        <v>231</v>
      </c>
      <c r="AQ102" s="20">
        <v>234</v>
      </c>
      <c r="AR102" s="20">
        <v>234</v>
      </c>
      <c r="AS102" s="20">
        <v>230</v>
      </c>
      <c r="AT102" s="20">
        <v>231</v>
      </c>
      <c r="AU102" s="20">
        <v>233</v>
      </c>
      <c r="AV102" s="20">
        <v>233</v>
      </c>
      <c r="AW102" s="20">
        <v>232</v>
      </c>
      <c r="AX102" s="20">
        <v>229</v>
      </c>
      <c r="AY102" s="20">
        <v>228</v>
      </c>
      <c r="AZ102" s="20">
        <v>232</v>
      </c>
      <c r="BA102" s="20">
        <v>227</v>
      </c>
      <c r="BB102" s="20">
        <v>228</v>
      </c>
      <c r="BC102" s="20">
        <v>227</v>
      </c>
      <c r="BD102" s="20">
        <v>221</v>
      </c>
      <c r="BE102" s="20">
        <v>226</v>
      </c>
      <c r="BF102" s="20">
        <v>222</v>
      </c>
      <c r="BG102" s="20">
        <v>231</v>
      </c>
      <c r="BH102" s="20">
        <v>232</v>
      </c>
      <c r="BI102" s="20">
        <v>231</v>
      </c>
      <c r="BJ102" s="20">
        <v>230</v>
      </c>
      <c r="BK102" s="20">
        <v>231</v>
      </c>
      <c r="BL102" s="20">
        <v>231</v>
      </c>
      <c r="BM102" s="20">
        <v>227</v>
      </c>
      <c r="BN102" s="20">
        <v>231</v>
      </c>
      <c r="BO102" s="20">
        <v>231</v>
      </c>
      <c r="BP102" s="20">
        <v>231</v>
      </c>
      <c r="BQ102" s="20">
        <v>227</v>
      </c>
      <c r="BR102" s="20">
        <v>230</v>
      </c>
      <c r="BS102" s="20">
        <v>230</v>
      </c>
      <c r="BT102" s="20">
        <v>227</v>
      </c>
      <c r="BU102" s="20">
        <v>228</v>
      </c>
      <c r="BV102" s="20">
        <v>231</v>
      </c>
      <c r="BW102" s="20">
        <v>225</v>
      </c>
      <c r="BX102" s="20">
        <v>228</v>
      </c>
      <c r="BY102" s="20">
        <v>230</v>
      </c>
      <c r="BZ102" s="20">
        <v>230</v>
      </c>
      <c r="CA102" s="20">
        <v>227</v>
      </c>
      <c r="CB102" s="20">
        <v>225</v>
      </c>
      <c r="CC102" s="20">
        <v>229</v>
      </c>
    </row>
    <row r="103" spans="1:81" x14ac:dyDescent="0.25">
      <c r="A103" s="13" t="s">
        <v>291</v>
      </c>
      <c r="B103" s="14">
        <v>2</v>
      </c>
      <c r="C103" s="13" t="s">
        <v>292</v>
      </c>
      <c r="D103" s="15">
        <v>13683</v>
      </c>
      <c r="E103" s="16">
        <v>59.990603600000007</v>
      </c>
      <c r="F103" s="17">
        <v>0</v>
      </c>
      <c r="G103" s="13" t="s">
        <v>252</v>
      </c>
      <c r="H103" s="18">
        <v>228.08571974428341</v>
      </c>
      <c r="I103" s="16">
        <v>231.36901043474239</v>
      </c>
      <c r="J103" s="16">
        <v>171.82248675248621</v>
      </c>
      <c r="K103" s="16">
        <v>151.6140544166492</v>
      </c>
      <c r="L103" s="16">
        <v>152.60122893750571</v>
      </c>
      <c r="M103" s="16">
        <v>82.466745284963849</v>
      </c>
      <c r="N103" s="16">
        <v>38.693700665531651</v>
      </c>
      <c r="O103" s="16">
        <v>469.792351780513</v>
      </c>
      <c r="P103" s="19">
        <v>4.3843165680040936</v>
      </c>
      <c r="Q103" s="19">
        <v>0.51852294651680242</v>
      </c>
      <c r="R103" s="16">
        <v>11.826767946021141</v>
      </c>
      <c r="S103" s="16">
        <v>2.9235491887151001E-2</v>
      </c>
      <c r="T103" s="16">
        <v>1.4616677629174891E-2</v>
      </c>
      <c r="U103" s="14"/>
      <c r="V103" s="20">
        <v>230</v>
      </c>
      <c r="W103" s="20">
        <v>229</v>
      </c>
      <c r="X103" s="20">
        <v>229</v>
      </c>
      <c r="Y103" s="20">
        <v>230</v>
      </c>
      <c r="Z103" s="20">
        <v>232</v>
      </c>
      <c r="AA103" s="20">
        <v>232</v>
      </c>
      <c r="AB103" s="20">
        <v>234</v>
      </c>
      <c r="AC103" s="20">
        <v>233</v>
      </c>
      <c r="AD103" s="20">
        <v>230</v>
      </c>
      <c r="AE103" s="20">
        <v>234</v>
      </c>
      <c r="AF103" s="20">
        <v>230</v>
      </c>
      <c r="AG103" s="20">
        <v>231</v>
      </c>
      <c r="AH103" s="20">
        <v>229</v>
      </c>
      <c r="AI103" s="20">
        <v>231</v>
      </c>
      <c r="AJ103" s="20">
        <v>231</v>
      </c>
      <c r="AK103" s="20">
        <v>229</v>
      </c>
      <c r="AL103" s="20">
        <v>225</v>
      </c>
      <c r="AM103" s="20">
        <v>213</v>
      </c>
      <c r="AN103" s="20">
        <v>223</v>
      </c>
      <c r="AO103" s="20">
        <v>225</v>
      </c>
      <c r="AP103" s="20">
        <v>218</v>
      </c>
      <c r="AQ103" s="20">
        <v>211</v>
      </c>
      <c r="AR103" s="20">
        <v>214</v>
      </c>
      <c r="AS103" s="20">
        <v>227</v>
      </c>
      <c r="AT103" s="20">
        <v>222</v>
      </c>
      <c r="AU103" s="20">
        <v>227</v>
      </c>
      <c r="AV103" s="20">
        <v>222</v>
      </c>
      <c r="AW103" s="20">
        <v>229</v>
      </c>
      <c r="AX103" s="20">
        <v>229</v>
      </c>
      <c r="AY103" s="20">
        <v>228</v>
      </c>
      <c r="AZ103" s="20">
        <v>230</v>
      </c>
      <c r="BA103" s="20">
        <v>231</v>
      </c>
      <c r="BB103" s="20">
        <v>231</v>
      </c>
      <c r="BC103" s="20">
        <v>231</v>
      </c>
      <c r="BD103" s="20">
        <v>229</v>
      </c>
      <c r="BE103" s="20">
        <v>234</v>
      </c>
      <c r="BF103" s="20">
        <v>228</v>
      </c>
      <c r="BG103" s="20">
        <v>230</v>
      </c>
      <c r="BH103" s="20">
        <v>227</v>
      </c>
      <c r="BI103" s="20">
        <v>227</v>
      </c>
      <c r="BJ103" s="20">
        <v>226</v>
      </c>
      <c r="BK103" s="20">
        <v>230</v>
      </c>
      <c r="BL103" s="20">
        <v>229</v>
      </c>
      <c r="BM103" s="20">
        <v>232</v>
      </c>
      <c r="BN103" s="20">
        <v>229</v>
      </c>
      <c r="BO103" s="20">
        <v>228</v>
      </c>
      <c r="BP103" s="20">
        <v>228</v>
      </c>
      <c r="BQ103" s="20">
        <v>228</v>
      </c>
      <c r="BR103" s="20">
        <v>226</v>
      </c>
      <c r="BS103" s="20">
        <v>229</v>
      </c>
      <c r="BT103" s="20">
        <v>231</v>
      </c>
      <c r="BU103" s="20">
        <v>229</v>
      </c>
      <c r="BV103" s="20">
        <v>229</v>
      </c>
      <c r="BW103" s="20">
        <v>229</v>
      </c>
      <c r="BX103" s="20">
        <v>233</v>
      </c>
      <c r="BY103" s="20">
        <v>229</v>
      </c>
      <c r="BZ103" s="20">
        <v>231</v>
      </c>
      <c r="CA103" s="20">
        <v>229</v>
      </c>
      <c r="CB103" s="20">
        <v>228</v>
      </c>
      <c r="CC103" s="20">
        <v>225</v>
      </c>
    </row>
    <row r="104" spans="1:81" x14ac:dyDescent="0.25">
      <c r="A104" s="13" t="s">
        <v>291</v>
      </c>
      <c r="B104" s="14">
        <v>3</v>
      </c>
      <c r="C104" s="13" t="s">
        <v>292</v>
      </c>
      <c r="D104" s="15">
        <v>13695</v>
      </c>
      <c r="E104" s="16">
        <v>59.99602320000001</v>
      </c>
      <c r="F104" s="17">
        <v>0</v>
      </c>
      <c r="G104" s="13" t="s">
        <v>252</v>
      </c>
      <c r="H104" s="18">
        <v>228.26512941277741</v>
      </c>
      <c r="I104" s="16">
        <v>231.61015378914209</v>
      </c>
      <c r="J104" s="16">
        <v>173.7789767754825</v>
      </c>
      <c r="K104" s="16">
        <v>152.88002266293429</v>
      </c>
      <c r="L104" s="16">
        <v>152.17288824968921</v>
      </c>
      <c r="M104" s="16">
        <v>74.075281226805188</v>
      </c>
      <c r="N104" s="16">
        <v>36.980470613469031</v>
      </c>
      <c r="O104" s="16">
        <v>482.27634434530978</v>
      </c>
      <c r="P104" s="19">
        <v>4.3808706243154436</v>
      </c>
      <c r="Q104" s="19">
        <v>0.51737080145317649</v>
      </c>
      <c r="R104" s="16">
        <v>11.809771294810171</v>
      </c>
      <c r="S104" s="16">
        <v>3.6512341171315903E-2</v>
      </c>
      <c r="T104" s="16">
        <v>3.6509675063891932E-2</v>
      </c>
      <c r="U104" s="14"/>
      <c r="V104" s="20">
        <v>230</v>
      </c>
      <c r="W104" s="20">
        <v>229</v>
      </c>
      <c r="X104" s="20">
        <v>228</v>
      </c>
      <c r="Y104" s="20">
        <v>232</v>
      </c>
      <c r="Z104" s="20">
        <v>225</v>
      </c>
      <c r="AA104" s="20">
        <v>228</v>
      </c>
      <c r="AB104" s="20">
        <v>225</v>
      </c>
      <c r="AC104" s="20">
        <v>230</v>
      </c>
      <c r="AD104" s="20">
        <v>230</v>
      </c>
      <c r="AE104" s="20">
        <v>224</v>
      </c>
      <c r="AF104" s="20">
        <v>232</v>
      </c>
      <c r="AG104" s="20">
        <v>230</v>
      </c>
      <c r="AH104" s="20">
        <v>232</v>
      </c>
      <c r="AI104" s="20">
        <v>230</v>
      </c>
      <c r="AJ104" s="20">
        <v>224</v>
      </c>
      <c r="AK104" s="20">
        <v>228</v>
      </c>
      <c r="AL104" s="20">
        <v>231</v>
      </c>
      <c r="AM104" s="20">
        <v>229</v>
      </c>
      <c r="AN104" s="20">
        <v>232</v>
      </c>
      <c r="AO104" s="20">
        <v>232</v>
      </c>
      <c r="AP104" s="20">
        <v>229</v>
      </c>
      <c r="AQ104" s="20">
        <v>228</v>
      </c>
      <c r="AR104" s="20">
        <v>232</v>
      </c>
      <c r="AS104" s="20">
        <v>229</v>
      </c>
      <c r="AT104" s="20">
        <v>227</v>
      </c>
      <c r="AU104" s="20">
        <v>229</v>
      </c>
      <c r="AV104" s="20">
        <v>232</v>
      </c>
      <c r="AW104" s="20">
        <v>225</v>
      </c>
      <c r="AX104" s="20">
        <v>231</v>
      </c>
      <c r="AY104" s="20">
        <v>228</v>
      </c>
      <c r="AZ104" s="20">
        <v>228</v>
      </c>
      <c r="BA104" s="20">
        <v>228</v>
      </c>
      <c r="BB104" s="20">
        <v>229</v>
      </c>
      <c r="BC104" s="20">
        <v>230</v>
      </c>
      <c r="BD104" s="20">
        <v>227</v>
      </c>
      <c r="BE104" s="20">
        <v>231</v>
      </c>
      <c r="BF104" s="20">
        <v>229</v>
      </c>
      <c r="BG104" s="20">
        <v>229</v>
      </c>
      <c r="BH104" s="20">
        <v>229</v>
      </c>
      <c r="BI104" s="20">
        <v>230</v>
      </c>
      <c r="BJ104" s="20">
        <v>229</v>
      </c>
      <c r="BK104" s="20">
        <v>234</v>
      </c>
      <c r="BL104" s="20">
        <v>230</v>
      </c>
      <c r="BM104" s="20">
        <v>230</v>
      </c>
      <c r="BN104" s="20">
        <v>227</v>
      </c>
      <c r="BO104" s="20">
        <v>225</v>
      </c>
      <c r="BP104" s="20">
        <v>218</v>
      </c>
      <c r="BQ104" s="20">
        <v>221</v>
      </c>
      <c r="BR104" s="20">
        <v>219</v>
      </c>
      <c r="BS104" s="20">
        <v>223</v>
      </c>
      <c r="BT104" s="20">
        <v>222</v>
      </c>
      <c r="BU104" s="20">
        <v>222</v>
      </c>
      <c r="BV104" s="20">
        <v>230</v>
      </c>
      <c r="BW104" s="20">
        <v>229</v>
      </c>
      <c r="BX104" s="20">
        <v>226</v>
      </c>
      <c r="BY104" s="20">
        <v>231</v>
      </c>
      <c r="BZ104" s="20">
        <v>231</v>
      </c>
      <c r="CA104" s="20">
        <v>229</v>
      </c>
      <c r="CB104" s="20">
        <v>228</v>
      </c>
      <c r="CC104" s="20">
        <v>230</v>
      </c>
    </row>
    <row r="105" spans="1:81" x14ac:dyDescent="0.25">
      <c r="A105" s="13" t="s">
        <v>291</v>
      </c>
      <c r="B105" s="14">
        <v>4</v>
      </c>
      <c r="C105" s="13" t="s">
        <v>292</v>
      </c>
      <c r="D105" s="15">
        <v>13736</v>
      </c>
      <c r="E105" s="16">
        <v>59.979005999999998</v>
      </c>
      <c r="F105" s="17">
        <v>0</v>
      </c>
      <c r="G105" s="13" t="s">
        <v>252</v>
      </c>
      <c r="H105" s="18">
        <v>229.01346514478749</v>
      </c>
      <c r="I105" s="16">
        <v>232.57707022664641</v>
      </c>
      <c r="J105" s="16">
        <v>172.0415308255414</v>
      </c>
      <c r="K105" s="16">
        <v>152.58120867814671</v>
      </c>
      <c r="L105" s="16">
        <v>153.10237839552369</v>
      </c>
      <c r="M105" s="16">
        <v>91.623616292511457</v>
      </c>
      <c r="N105" s="16">
        <v>42.764283270612381</v>
      </c>
      <c r="O105" s="16">
        <v>352.16227637695448</v>
      </c>
      <c r="P105" s="19">
        <v>4.3665554746651134</v>
      </c>
      <c r="Q105" s="19">
        <v>0.5052628912734638</v>
      </c>
      <c r="R105" s="16">
        <v>11.571200553961001</v>
      </c>
      <c r="S105" s="16">
        <v>2.9122679286494361E-2</v>
      </c>
      <c r="T105" s="16">
        <v>2.1840419336051249E-2</v>
      </c>
      <c r="U105" s="14"/>
      <c r="V105" s="20">
        <v>229</v>
      </c>
      <c r="W105" s="20">
        <v>231</v>
      </c>
      <c r="X105" s="20">
        <v>232</v>
      </c>
      <c r="Y105" s="20">
        <v>231</v>
      </c>
      <c r="Z105" s="20">
        <v>227</v>
      </c>
      <c r="AA105" s="20">
        <v>228</v>
      </c>
      <c r="AB105" s="20">
        <v>230</v>
      </c>
      <c r="AC105" s="20">
        <v>225</v>
      </c>
      <c r="AD105" s="20">
        <v>228</v>
      </c>
      <c r="AE105" s="20">
        <v>226</v>
      </c>
      <c r="AF105" s="20">
        <v>229</v>
      </c>
      <c r="AG105" s="20">
        <v>227</v>
      </c>
      <c r="AH105" s="20">
        <v>225</v>
      </c>
      <c r="AI105" s="20">
        <v>229</v>
      </c>
      <c r="AJ105" s="20">
        <v>227</v>
      </c>
      <c r="AK105" s="20">
        <v>228</v>
      </c>
      <c r="AL105" s="20">
        <v>228</v>
      </c>
      <c r="AM105" s="20">
        <v>232</v>
      </c>
      <c r="AN105" s="20">
        <v>230</v>
      </c>
      <c r="AO105" s="20">
        <v>225</v>
      </c>
      <c r="AP105" s="20">
        <v>226</v>
      </c>
      <c r="AQ105" s="20">
        <v>229</v>
      </c>
      <c r="AR105" s="20">
        <v>228</v>
      </c>
      <c r="AS105" s="20">
        <v>227</v>
      </c>
      <c r="AT105" s="20">
        <v>231</v>
      </c>
      <c r="AU105" s="20">
        <v>233</v>
      </c>
      <c r="AV105" s="20">
        <v>228</v>
      </c>
      <c r="AW105" s="20">
        <v>230</v>
      </c>
      <c r="AX105" s="20">
        <v>232</v>
      </c>
      <c r="AY105" s="20">
        <v>226</v>
      </c>
      <c r="AZ105" s="20">
        <v>230</v>
      </c>
      <c r="BA105" s="20">
        <v>229</v>
      </c>
      <c r="BB105" s="20">
        <v>229</v>
      </c>
      <c r="BC105" s="20">
        <v>230</v>
      </c>
      <c r="BD105" s="20">
        <v>228</v>
      </c>
      <c r="BE105" s="20">
        <v>232</v>
      </c>
      <c r="BF105" s="20">
        <v>233</v>
      </c>
      <c r="BG105" s="20">
        <v>229</v>
      </c>
      <c r="BH105" s="20">
        <v>231</v>
      </c>
      <c r="BI105" s="20">
        <v>227</v>
      </c>
      <c r="BJ105" s="20">
        <v>230</v>
      </c>
      <c r="BK105" s="20">
        <v>231</v>
      </c>
      <c r="BL105" s="20">
        <v>231</v>
      </c>
      <c r="BM105" s="20">
        <v>230</v>
      </c>
      <c r="BN105" s="20">
        <v>232</v>
      </c>
      <c r="BO105" s="20">
        <v>229</v>
      </c>
      <c r="BP105" s="20">
        <v>230</v>
      </c>
      <c r="BQ105" s="20">
        <v>228</v>
      </c>
      <c r="BR105" s="20">
        <v>232</v>
      </c>
      <c r="BS105" s="20">
        <v>228</v>
      </c>
      <c r="BT105" s="20">
        <v>227</v>
      </c>
      <c r="BU105" s="20">
        <v>225</v>
      </c>
      <c r="BV105" s="20">
        <v>230</v>
      </c>
      <c r="BW105" s="20">
        <v>232</v>
      </c>
      <c r="BX105" s="20">
        <v>229</v>
      </c>
      <c r="BY105" s="20">
        <v>232</v>
      </c>
      <c r="BZ105" s="20">
        <v>223</v>
      </c>
      <c r="CA105" s="20">
        <v>226</v>
      </c>
      <c r="CB105" s="20">
        <v>231</v>
      </c>
      <c r="CC105" s="20">
        <v>225</v>
      </c>
    </row>
    <row r="106" spans="1:81" x14ac:dyDescent="0.25">
      <c r="A106" s="13" t="s">
        <v>291</v>
      </c>
      <c r="B106" s="14">
        <v>5</v>
      </c>
      <c r="C106" s="13" t="s">
        <v>292</v>
      </c>
      <c r="D106" s="15">
        <v>13808</v>
      </c>
      <c r="E106" s="16">
        <v>59.99900920000001</v>
      </c>
      <c r="F106" s="17">
        <v>0</v>
      </c>
      <c r="G106" s="13" t="s">
        <v>252</v>
      </c>
      <c r="H106" s="18">
        <v>230.13713366453391</v>
      </c>
      <c r="I106" s="16">
        <v>233.3205007057945</v>
      </c>
      <c r="J106" s="16">
        <v>177.50516140633081</v>
      </c>
      <c r="K106" s="16">
        <v>151.9437156717359</v>
      </c>
      <c r="L106" s="16">
        <v>154.88889303406361</v>
      </c>
      <c r="M106" s="16">
        <v>82.988378307501833</v>
      </c>
      <c r="N106" s="16">
        <v>41.0924003714753</v>
      </c>
      <c r="O106" s="16">
        <v>438.02014892685071</v>
      </c>
      <c r="P106" s="19">
        <v>4.3452353128621093</v>
      </c>
      <c r="Q106" s="19">
        <v>0.49714169093999527</v>
      </c>
      <c r="R106" s="16">
        <v>11.441076377807009</v>
      </c>
      <c r="S106" s="16">
        <v>1.448540595350185E-2</v>
      </c>
      <c r="T106" s="16">
        <v>2.8968713789107769E-2</v>
      </c>
      <c r="U106" s="14"/>
      <c r="V106" s="20">
        <v>230</v>
      </c>
      <c r="W106" s="20">
        <v>227</v>
      </c>
      <c r="X106" s="20">
        <v>229</v>
      </c>
      <c r="Y106" s="20">
        <v>231</v>
      </c>
      <c r="Z106" s="20">
        <v>230</v>
      </c>
      <c r="AA106" s="20">
        <v>224</v>
      </c>
      <c r="AB106" s="20">
        <v>230</v>
      </c>
      <c r="AC106" s="20">
        <v>233</v>
      </c>
      <c r="AD106" s="20">
        <v>233</v>
      </c>
      <c r="AE106" s="20">
        <v>233</v>
      </c>
      <c r="AF106" s="20">
        <v>228</v>
      </c>
      <c r="AG106" s="20">
        <v>228</v>
      </c>
      <c r="AH106" s="20">
        <v>230</v>
      </c>
      <c r="AI106" s="20">
        <v>229</v>
      </c>
      <c r="AJ106" s="20">
        <v>230</v>
      </c>
      <c r="AK106" s="20">
        <v>225</v>
      </c>
      <c r="AL106" s="20">
        <v>231</v>
      </c>
      <c r="AM106" s="20">
        <v>230</v>
      </c>
      <c r="AN106" s="20">
        <v>230</v>
      </c>
      <c r="AO106" s="20">
        <v>231</v>
      </c>
      <c r="AP106" s="20">
        <v>231</v>
      </c>
      <c r="AQ106" s="20">
        <v>232</v>
      </c>
      <c r="AR106" s="20">
        <v>233</v>
      </c>
      <c r="AS106" s="20">
        <v>231</v>
      </c>
      <c r="AT106" s="20">
        <v>232</v>
      </c>
      <c r="AU106" s="20">
        <v>230</v>
      </c>
      <c r="AV106" s="20">
        <v>230</v>
      </c>
      <c r="AW106" s="20">
        <v>229</v>
      </c>
      <c r="AX106" s="20">
        <v>228</v>
      </c>
      <c r="AY106" s="20">
        <v>229</v>
      </c>
      <c r="AZ106" s="20">
        <v>229</v>
      </c>
      <c r="BA106" s="20">
        <v>231</v>
      </c>
      <c r="BB106" s="20">
        <v>230</v>
      </c>
      <c r="BC106" s="20">
        <v>227</v>
      </c>
      <c r="BD106" s="20">
        <v>229</v>
      </c>
      <c r="BE106" s="20">
        <v>228</v>
      </c>
      <c r="BF106" s="20">
        <v>223</v>
      </c>
      <c r="BG106" s="20">
        <v>229</v>
      </c>
      <c r="BH106" s="20">
        <v>232</v>
      </c>
      <c r="BI106" s="20">
        <v>234</v>
      </c>
      <c r="BJ106" s="20">
        <v>232</v>
      </c>
      <c r="BK106" s="20">
        <v>231</v>
      </c>
      <c r="BL106" s="20">
        <v>231</v>
      </c>
      <c r="BM106" s="20">
        <v>225</v>
      </c>
      <c r="BN106" s="20">
        <v>232</v>
      </c>
      <c r="BO106" s="20">
        <v>230</v>
      </c>
      <c r="BP106" s="20">
        <v>233</v>
      </c>
      <c r="BQ106" s="20">
        <v>232</v>
      </c>
      <c r="BR106" s="20">
        <v>229</v>
      </c>
      <c r="BS106" s="20">
        <v>233</v>
      </c>
      <c r="BT106" s="20">
        <v>234</v>
      </c>
      <c r="BU106" s="20">
        <v>233</v>
      </c>
      <c r="BV106" s="20">
        <v>234</v>
      </c>
      <c r="BW106" s="20">
        <v>233</v>
      </c>
      <c r="BX106" s="20">
        <v>234</v>
      </c>
      <c r="BY106" s="20">
        <v>229</v>
      </c>
      <c r="BZ106" s="20">
        <v>230</v>
      </c>
      <c r="CA106" s="20">
        <v>230</v>
      </c>
      <c r="CB106" s="20">
        <v>227</v>
      </c>
      <c r="CC106" s="20">
        <v>227</v>
      </c>
    </row>
    <row r="107" spans="1:81" x14ac:dyDescent="0.25">
      <c r="A107" s="21" t="s">
        <v>293</v>
      </c>
      <c r="B107" s="22">
        <v>1</v>
      </c>
      <c r="C107" s="21" t="s">
        <v>294</v>
      </c>
      <c r="D107" s="23">
        <v>13739</v>
      </c>
      <c r="E107" s="24">
        <v>59.99496460000001</v>
      </c>
      <c r="F107" s="25">
        <v>0</v>
      </c>
      <c r="G107" s="21" t="s">
        <v>252</v>
      </c>
      <c r="H107" s="26">
        <v>229.00255199083821</v>
      </c>
      <c r="I107" s="24">
        <v>231.438622477319</v>
      </c>
      <c r="J107" s="24">
        <v>178.3777612877449</v>
      </c>
      <c r="K107" s="24">
        <v>157.12805119106159</v>
      </c>
      <c r="L107" s="24">
        <v>158.81970489313579</v>
      </c>
      <c r="M107" s="24">
        <v>90.940644556975059</v>
      </c>
      <c r="N107" s="24">
        <v>40.690932025798048</v>
      </c>
      <c r="O107" s="24">
        <v>365.85812022097832</v>
      </c>
      <c r="P107" s="27">
        <v>4.3667635635781359</v>
      </c>
      <c r="Q107" s="27">
        <v>0.50310888098219531</v>
      </c>
      <c r="R107" s="24">
        <v>11.52132176741776</v>
      </c>
      <c r="S107" s="24">
        <v>1.455815984859514E-2</v>
      </c>
      <c r="T107" s="24">
        <v>1.455710022563505E-2</v>
      </c>
      <c r="U107" s="22"/>
      <c r="V107" s="28">
        <v>232</v>
      </c>
      <c r="W107" s="28">
        <v>228</v>
      </c>
      <c r="X107" s="28">
        <v>227</v>
      </c>
      <c r="Y107" s="28">
        <v>231</v>
      </c>
      <c r="Z107" s="28">
        <v>230</v>
      </c>
      <c r="AA107" s="28">
        <v>228</v>
      </c>
      <c r="AB107" s="28">
        <v>227</v>
      </c>
      <c r="AC107" s="28">
        <v>225</v>
      </c>
      <c r="AD107" s="28">
        <v>230</v>
      </c>
      <c r="AE107" s="28">
        <v>228</v>
      </c>
      <c r="AF107" s="28">
        <v>230</v>
      </c>
      <c r="AG107" s="28">
        <v>229</v>
      </c>
      <c r="AH107" s="28">
        <v>230</v>
      </c>
      <c r="AI107" s="28">
        <v>227</v>
      </c>
      <c r="AJ107" s="28">
        <v>230</v>
      </c>
      <c r="AK107" s="28">
        <v>226</v>
      </c>
      <c r="AL107" s="28">
        <v>228</v>
      </c>
      <c r="AM107" s="28">
        <v>226</v>
      </c>
      <c r="AN107" s="28">
        <v>229</v>
      </c>
      <c r="AO107" s="28">
        <v>230</v>
      </c>
      <c r="AP107" s="28">
        <v>232</v>
      </c>
      <c r="AQ107" s="28">
        <v>232</v>
      </c>
      <c r="AR107" s="28">
        <v>229</v>
      </c>
      <c r="AS107" s="28">
        <v>231</v>
      </c>
      <c r="AT107" s="28">
        <v>228</v>
      </c>
      <c r="AU107" s="28">
        <v>227</v>
      </c>
      <c r="AV107" s="28">
        <v>231</v>
      </c>
      <c r="AW107" s="28">
        <v>229</v>
      </c>
      <c r="AX107" s="28">
        <v>231</v>
      </c>
      <c r="AY107" s="28">
        <v>231</v>
      </c>
      <c r="AZ107" s="28">
        <v>230</v>
      </c>
      <c r="BA107" s="28">
        <v>230</v>
      </c>
      <c r="BB107" s="28">
        <v>229</v>
      </c>
      <c r="BC107" s="28">
        <v>230</v>
      </c>
      <c r="BD107" s="28">
        <v>227</v>
      </c>
      <c r="BE107" s="28">
        <v>228</v>
      </c>
      <c r="BF107" s="28">
        <v>230</v>
      </c>
      <c r="BG107" s="28">
        <v>228</v>
      </c>
      <c r="BH107" s="28">
        <v>231</v>
      </c>
      <c r="BI107" s="28">
        <v>230</v>
      </c>
      <c r="BJ107" s="28">
        <v>229</v>
      </c>
      <c r="BK107" s="28">
        <v>226</v>
      </c>
      <c r="BL107" s="28">
        <v>229</v>
      </c>
      <c r="BM107" s="28">
        <v>228</v>
      </c>
      <c r="BN107" s="28">
        <v>229</v>
      </c>
      <c r="BO107" s="28">
        <v>224</v>
      </c>
      <c r="BP107" s="28">
        <v>229</v>
      </c>
      <c r="BQ107" s="28">
        <v>229</v>
      </c>
      <c r="BR107" s="28">
        <v>228</v>
      </c>
      <c r="BS107" s="28">
        <v>231</v>
      </c>
      <c r="BT107" s="28">
        <v>231</v>
      </c>
      <c r="BU107" s="28">
        <v>225</v>
      </c>
      <c r="BV107" s="28">
        <v>233</v>
      </c>
      <c r="BW107" s="28">
        <v>230</v>
      </c>
      <c r="BX107" s="28">
        <v>230</v>
      </c>
      <c r="BY107" s="28">
        <v>226</v>
      </c>
      <c r="BZ107" s="28">
        <v>230</v>
      </c>
      <c r="CA107" s="28">
        <v>228</v>
      </c>
      <c r="CB107" s="28">
        <v>229</v>
      </c>
      <c r="CC107" s="28">
        <v>230</v>
      </c>
    </row>
    <row r="108" spans="1:81" x14ac:dyDescent="0.25">
      <c r="A108" s="21" t="s">
        <v>293</v>
      </c>
      <c r="B108" s="22">
        <v>2</v>
      </c>
      <c r="C108" s="21" t="s">
        <v>294</v>
      </c>
      <c r="D108" s="23">
        <v>13742</v>
      </c>
      <c r="E108" s="24">
        <v>59.995742299999989</v>
      </c>
      <c r="F108" s="25">
        <v>0</v>
      </c>
      <c r="G108" s="21" t="s">
        <v>252</v>
      </c>
      <c r="H108" s="26">
        <v>229.0495870737814</v>
      </c>
      <c r="I108" s="24">
        <v>231.49487817582039</v>
      </c>
      <c r="J108" s="24">
        <v>178.62074065447351</v>
      </c>
      <c r="K108" s="24">
        <v>157.09106062951429</v>
      </c>
      <c r="L108" s="24">
        <v>159.75610567866391</v>
      </c>
      <c r="M108" s="24">
        <v>90.386492642539494</v>
      </c>
      <c r="N108" s="24">
        <v>35.753359028080688</v>
      </c>
      <c r="O108" s="24">
        <v>424.30414120841817</v>
      </c>
      <c r="P108" s="27">
        <v>4.365866853442002</v>
      </c>
      <c r="Q108" s="27">
        <v>0.51574742056010836</v>
      </c>
      <c r="R108" s="24">
        <v>11.813173371366069</v>
      </c>
      <c r="S108" s="24">
        <v>7.2774907211993296E-3</v>
      </c>
      <c r="T108" s="24">
        <v>1.455392228205501E-2</v>
      </c>
      <c r="U108" s="22"/>
      <c r="V108" s="28">
        <v>226</v>
      </c>
      <c r="W108" s="28">
        <v>231</v>
      </c>
      <c r="X108" s="28">
        <v>231</v>
      </c>
      <c r="Y108" s="28">
        <v>230</v>
      </c>
      <c r="Z108" s="28">
        <v>231</v>
      </c>
      <c r="AA108" s="28">
        <v>231</v>
      </c>
      <c r="AB108" s="28">
        <v>229</v>
      </c>
      <c r="AC108" s="28">
        <v>231</v>
      </c>
      <c r="AD108" s="28">
        <v>232</v>
      </c>
      <c r="AE108" s="28">
        <v>230</v>
      </c>
      <c r="AF108" s="28">
        <v>226</v>
      </c>
      <c r="AG108" s="28">
        <v>230</v>
      </c>
      <c r="AH108" s="28">
        <v>230</v>
      </c>
      <c r="AI108" s="28">
        <v>228</v>
      </c>
      <c r="AJ108" s="28">
        <v>231</v>
      </c>
      <c r="AK108" s="28">
        <v>231</v>
      </c>
      <c r="AL108" s="28">
        <v>230</v>
      </c>
      <c r="AM108" s="28">
        <v>231</v>
      </c>
      <c r="AN108" s="28">
        <v>229</v>
      </c>
      <c r="AO108" s="28">
        <v>230</v>
      </c>
      <c r="AP108" s="28">
        <v>228</v>
      </c>
      <c r="AQ108" s="28">
        <v>232</v>
      </c>
      <c r="AR108" s="28">
        <v>228</v>
      </c>
      <c r="AS108" s="28">
        <v>230</v>
      </c>
      <c r="AT108" s="28">
        <v>227</v>
      </c>
      <c r="AU108" s="28">
        <v>230</v>
      </c>
      <c r="AV108" s="28">
        <v>229</v>
      </c>
      <c r="AW108" s="28">
        <v>228</v>
      </c>
      <c r="AX108" s="28">
        <v>232</v>
      </c>
      <c r="AY108" s="28">
        <v>230</v>
      </c>
      <c r="AZ108" s="28">
        <v>228</v>
      </c>
      <c r="BA108" s="28">
        <v>231</v>
      </c>
      <c r="BB108" s="28">
        <v>229</v>
      </c>
      <c r="BC108" s="28">
        <v>229</v>
      </c>
      <c r="BD108" s="28">
        <v>229</v>
      </c>
      <c r="BE108" s="28">
        <v>228</v>
      </c>
      <c r="BF108" s="28">
        <v>232</v>
      </c>
      <c r="BG108" s="28">
        <v>229</v>
      </c>
      <c r="BH108" s="28">
        <v>223</v>
      </c>
      <c r="BI108" s="28">
        <v>229</v>
      </c>
      <c r="BJ108" s="28">
        <v>227</v>
      </c>
      <c r="BK108" s="28">
        <v>228</v>
      </c>
      <c r="BL108" s="28">
        <v>228</v>
      </c>
      <c r="BM108" s="28">
        <v>230</v>
      </c>
      <c r="BN108" s="28">
        <v>231</v>
      </c>
      <c r="BO108" s="28">
        <v>228</v>
      </c>
      <c r="BP108" s="28">
        <v>229</v>
      </c>
      <c r="BQ108" s="28">
        <v>228</v>
      </c>
      <c r="BR108" s="28">
        <v>228</v>
      </c>
      <c r="BS108" s="28">
        <v>230</v>
      </c>
      <c r="BT108" s="28">
        <v>227</v>
      </c>
      <c r="BU108" s="28">
        <v>228</v>
      </c>
      <c r="BV108" s="28">
        <v>231</v>
      </c>
      <c r="BW108" s="28">
        <v>228</v>
      </c>
      <c r="BX108" s="28">
        <v>227</v>
      </c>
      <c r="BY108" s="28">
        <v>222</v>
      </c>
      <c r="BZ108" s="28">
        <v>228</v>
      </c>
      <c r="CA108" s="28">
        <v>226</v>
      </c>
      <c r="CB108" s="28">
        <v>230</v>
      </c>
      <c r="CC108" s="28">
        <v>229</v>
      </c>
    </row>
    <row r="109" spans="1:81" x14ac:dyDescent="0.25">
      <c r="A109" s="21" t="s">
        <v>293</v>
      </c>
      <c r="B109" s="22">
        <v>3</v>
      </c>
      <c r="C109" s="21" t="s">
        <v>294</v>
      </c>
      <c r="D109" s="23">
        <v>13727</v>
      </c>
      <c r="E109" s="24">
        <v>59.990403700000002</v>
      </c>
      <c r="F109" s="25">
        <v>0</v>
      </c>
      <c r="G109" s="21" t="s">
        <v>252</v>
      </c>
      <c r="H109" s="26">
        <v>228.81993041163679</v>
      </c>
      <c r="I109" s="24">
        <v>231.24595319581911</v>
      </c>
      <c r="J109" s="24">
        <v>178.77376216153209</v>
      </c>
      <c r="K109" s="24">
        <v>160.11257579248979</v>
      </c>
      <c r="L109" s="24">
        <v>160.2461645410921</v>
      </c>
      <c r="M109" s="24">
        <v>91.094039413354395</v>
      </c>
      <c r="N109" s="24">
        <v>38.517091959557057</v>
      </c>
      <c r="O109" s="24">
        <v>484.16771569671738</v>
      </c>
      <c r="P109" s="27">
        <v>4.3702486850732134</v>
      </c>
      <c r="Q109" s="27">
        <v>0.50201918764402698</v>
      </c>
      <c r="R109" s="24">
        <v>11.48719955820127</v>
      </c>
      <c r="S109" s="24">
        <v>4.3712662101121957E-2</v>
      </c>
      <c r="T109" s="24">
        <v>1.4569825890580611E-2</v>
      </c>
      <c r="U109" s="22"/>
      <c r="V109" s="28">
        <v>230</v>
      </c>
      <c r="W109" s="28">
        <v>228</v>
      </c>
      <c r="X109" s="28">
        <v>228</v>
      </c>
      <c r="Y109" s="28">
        <v>227</v>
      </c>
      <c r="Z109" s="28">
        <v>229</v>
      </c>
      <c r="AA109" s="28">
        <v>227</v>
      </c>
      <c r="AB109" s="28">
        <v>225</v>
      </c>
      <c r="AC109" s="28">
        <v>230</v>
      </c>
      <c r="AD109" s="28">
        <v>229</v>
      </c>
      <c r="AE109" s="28">
        <v>230</v>
      </c>
      <c r="AF109" s="28">
        <v>226</v>
      </c>
      <c r="AG109" s="28">
        <v>229</v>
      </c>
      <c r="AH109" s="28">
        <v>226</v>
      </c>
      <c r="AI109" s="28">
        <v>229</v>
      </c>
      <c r="AJ109" s="28">
        <v>229</v>
      </c>
      <c r="AK109" s="28">
        <v>229</v>
      </c>
      <c r="AL109" s="28">
        <v>226</v>
      </c>
      <c r="AM109" s="28">
        <v>231</v>
      </c>
      <c r="AN109" s="28">
        <v>227</v>
      </c>
      <c r="AO109" s="28">
        <v>232</v>
      </c>
      <c r="AP109" s="28">
        <v>229</v>
      </c>
      <c r="AQ109" s="28">
        <v>230</v>
      </c>
      <c r="AR109" s="28">
        <v>231</v>
      </c>
      <c r="AS109" s="28">
        <v>228</v>
      </c>
      <c r="AT109" s="28">
        <v>223</v>
      </c>
      <c r="AU109" s="28">
        <v>231</v>
      </c>
      <c r="AV109" s="28">
        <v>225</v>
      </c>
      <c r="AW109" s="28">
        <v>231</v>
      </c>
      <c r="AX109" s="28">
        <v>230</v>
      </c>
      <c r="AY109" s="28">
        <v>227</v>
      </c>
      <c r="AZ109" s="28">
        <v>231</v>
      </c>
      <c r="BA109" s="28">
        <v>231</v>
      </c>
      <c r="BB109" s="28">
        <v>230</v>
      </c>
      <c r="BC109" s="28">
        <v>231</v>
      </c>
      <c r="BD109" s="28">
        <v>232</v>
      </c>
      <c r="BE109" s="28">
        <v>228</v>
      </c>
      <c r="BF109" s="28">
        <v>227</v>
      </c>
      <c r="BG109" s="28">
        <v>228</v>
      </c>
      <c r="BH109" s="28">
        <v>229</v>
      </c>
      <c r="BI109" s="28">
        <v>229</v>
      </c>
      <c r="BJ109" s="28">
        <v>229</v>
      </c>
      <c r="BK109" s="28">
        <v>227</v>
      </c>
      <c r="BL109" s="28">
        <v>227</v>
      </c>
      <c r="BM109" s="28">
        <v>224</v>
      </c>
      <c r="BN109" s="28">
        <v>225</v>
      </c>
      <c r="BO109" s="28">
        <v>231</v>
      </c>
      <c r="BP109" s="28">
        <v>229</v>
      </c>
      <c r="BQ109" s="28">
        <v>229</v>
      </c>
      <c r="BR109" s="28">
        <v>230</v>
      </c>
      <c r="BS109" s="28">
        <v>231</v>
      </c>
      <c r="BT109" s="28">
        <v>229</v>
      </c>
      <c r="BU109" s="28">
        <v>229</v>
      </c>
      <c r="BV109" s="28">
        <v>229</v>
      </c>
      <c r="BW109" s="28">
        <v>231</v>
      </c>
      <c r="BX109" s="28">
        <v>233</v>
      </c>
      <c r="BY109" s="28">
        <v>229</v>
      </c>
      <c r="BZ109" s="28">
        <v>229</v>
      </c>
      <c r="CA109" s="28">
        <v>231</v>
      </c>
      <c r="CB109" s="28">
        <v>229</v>
      </c>
      <c r="CC109" s="28">
        <v>228</v>
      </c>
    </row>
    <row r="110" spans="1:81" x14ac:dyDescent="0.25">
      <c r="A110" s="21" t="s">
        <v>293</v>
      </c>
      <c r="B110" s="22">
        <v>4</v>
      </c>
      <c r="C110" s="21" t="s">
        <v>294</v>
      </c>
      <c r="D110" s="23">
        <v>13707</v>
      </c>
      <c r="E110" s="24">
        <v>59.987096899999997</v>
      </c>
      <c r="F110" s="25">
        <v>0</v>
      </c>
      <c r="G110" s="21" t="s">
        <v>252</v>
      </c>
      <c r="H110" s="26">
        <v>228.49913912069979</v>
      </c>
      <c r="I110" s="24">
        <v>230.94688221709009</v>
      </c>
      <c r="J110" s="24">
        <v>177.91454266355149</v>
      </c>
      <c r="K110" s="24">
        <v>160.52203306163079</v>
      </c>
      <c r="L110" s="24">
        <v>161.96050213044171</v>
      </c>
      <c r="M110" s="24">
        <v>99.982503061964167</v>
      </c>
      <c r="N110" s="24">
        <v>44.045490182260238</v>
      </c>
      <c r="O110" s="24">
        <v>389.93955936829792</v>
      </c>
      <c r="P110" s="27">
        <v>4.3763841030130592</v>
      </c>
      <c r="Q110" s="27">
        <v>0.49542764354816321</v>
      </c>
      <c r="R110" s="24">
        <v>11.320479004735221</v>
      </c>
      <c r="S110" s="24">
        <v>7.2960747118050494E-3</v>
      </c>
      <c r="T110" s="24">
        <v>7.2955424235791929E-3</v>
      </c>
      <c r="U110" s="22"/>
      <c r="V110" s="28">
        <v>225</v>
      </c>
      <c r="W110" s="28">
        <v>226</v>
      </c>
      <c r="X110" s="28">
        <v>229</v>
      </c>
      <c r="Y110" s="28">
        <v>229</v>
      </c>
      <c r="Z110" s="28">
        <v>228</v>
      </c>
      <c r="AA110" s="28">
        <v>229</v>
      </c>
      <c r="AB110" s="28">
        <v>232</v>
      </c>
      <c r="AC110" s="28">
        <v>227</v>
      </c>
      <c r="AD110" s="28">
        <v>228</v>
      </c>
      <c r="AE110" s="28">
        <v>229</v>
      </c>
      <c r="AF110" s="28">
        <v>228</v>
      </c>
      <c r="AG110" s="28">
        <v>219</v>
      </c>
      <c r="AH110" s="28">
        <v>231</v>
      </c>
      <c r="AI110" s="28">
        <v>227</v>
      </c>
      <c r="AJ110" s="28">
        <v>232</v>
      </c>
      <c r="AK110" s="28">
        <v>230</v>
      </c>
      <c r="AL110" s="28">
        <v>225</v>
      </c>
      <c r="AM110" s="28">
        <v>227</v>
      </c>
      <c r="AN110" s="28">
        <v>230</v>
      </c>
      <c r="AO110" s="28">
        <v>228</v>
      </c>
      <c r="AP110" s="28">
        <v>230</v>
      </c>
      <c r="AQ110" s="28">
        <v>230</v>
      </c>
      <c r="AR110" s="28">
        <v>229</v>
      </c>
      <c r="AS110" s="28">
        <v>228</v>
      </c>
      <c r="AT110" s="28">
        <v>230</v>
      </c>
      <c r="AU110" s="28">
        <v>230</v>
      </c>
      <c r="AV110" s="28">
        <v>226</v>
      </c>
      <c r="AW110" s="28">
        <v>228</v>
      </c>
      <c r="AX110" s="28">
        <v>227</v>
      </c>
      <c r="AY110" s="28">
        <v>230</v>
      </c>
      <c r="AZ110" s="28">
        <v>231</v>
      </c>
      <c r="BA110" s="28">
        <v>225</v>
      </c>
      <c r="BB110" s="28">
        <v>231</v>
      </c>
      <c r="BC110" s="28">
        <v>227</v>
      </c>
      <c r="BD110" s="28">
        <v>231</v>
      </c>
      <c r="BE110" s="28">
        <v>229</v>
      </c>
      <c r="BF110" s="28">
        <v>227</v>
      </c>
      <c r="BG110" s="28">
        <v>227</v>
      </c>
      <c r="BH110" s="28">
        <v>227</v>
      </c>
      <c r="BI110" s="28">
        <v>230</v>
      </c>
      <c r="BJ110" s="28">
        <v>229</v>
      </c>
      <c r="BK110" s="28">
        <v>223</v>
      </c>
      <c r="BL110" s="28">
        <v>228</v>
      </c>
      <c r="BM110" s="28">
        <v>231</v>
      </c>
      <c r="BN110" s="28">
        <v>229</v>
      </c>
      <c r="BO110" s="28">
        <v>229</v>
      </c>
      <c r="BP110" s="28">
        <v>229</v>
      </c>
      <c r="BQ110" s="28">
        <v>229</v>
      </c>
      <c r="BR110" s="28">
        <v>230</v>
      </c>
      <c r="BS110" s="28">
        <v>231</v>
      </c>
      <c r="BT110" s="28">
        <v>230</v>
      </c>
      <c r="BU110" s="28">
        <v>227</v>
      </c>
      <c r="BV110" s="28">
        <v>231</v>
      </c>
      <c r="BW110" s="28">
        <v>229</v>
      </c>
      <c r="BX110" s="28">
        <v>234</v>
      </c>
      <c r="BY110" s="28">
        <v>227</v>
      </c>
      <c r="BZ110" s="28">
        <v>228</v>
      </c>
      <c r="CA110" s="28">
        <v>229</v>
      </c>
      <c r="CB110" s="28">
        <v>227</v>
      </c>
      <c r="CC110" s="28">
        <v>225</v>
      </c>
    </row>
    <row r="111" spans="1:81" x14ac:dyDescent="0.25">
      <c r="A111" s="21" t="s">
        <v>293</v>
      </c>
      <c r="B111" s="22">
        <v>5</v>
      </c>
      <c r="C111" s="21" t="s">
        <v>294</v>
      </c>
      <c r="D111" s="23">
        <v>13645</v>
      </c>
      <c r="E111" s="24">
        <v>59.997157399999999</v>
      </c>
      <c r="F111" s="25">
        <v>0</v>
      </c>
      <c r="G111" s="21" t="s">
        <v>252</v>
      </c>
      <c r="H111" s="26">
        <v>227.42744142074969</v>
      </c>
      <c r="I111" s="24">
        <v>229.74773698479069</v>
      </c>
      <c r="J111" s="24">
        <v>178.0063854450587</v>
      </c>
      <c r="K111" s="24">
        <v>157.39868577133939</v>
      </c>
      <c r="L111" s="24">
        <v>156.11498233824699</v>
      </c>
      <c r="M111" s="24">
        <v>75.221225624561825</v>
      </c>
      <c r="N111" s="24">
        <v>43.35592176857476</v>
      </c>
      <c r="O111" s="24">
        <v>365.75106982187918</v>
      </c>
      <c r="P111" s="27">
        <v>4.3970067717112489</v>
      </c>
      <c r="Q111" s="27">
        <v>0.50927081846948907</v>
      </c>
      <c r="R111" s="24">
        <v>11.582215923476699</v>
      </c>
      <c r="S111" s="24">
        <v>2.931691586045148E-2</v>
      </c>
      <c r="T111" s="24">
        <v>3.6643459142543057E-2</v>
      </c>
      <c r="U111" s="22"/>
      <c r="V111" s="28">
        <v>233</v>
      </c>
      <c r="W111" s="28">
        <v>229</v>
      </c>
      <c r="X111" s="28">
        <v>230</v>
      </c>
      <c r="Y111" s="28">
        <v>228</v>
      </c>
      <c r="Z111" s="28">
        <v>227</v>
      </c>
      <c r="AA111" s="28">
        <v>229</v>
      </c>
      <c r="AB111" s="28">
        <v>231</v>
      </c>
      <c r="AC111" s="28">
        <v>229</v>
      </c>
      <c r="AD111" s="28">
        <v>225</v>
      </c>
      <c r="AE111" s="28">
        <v>222</v>
      </c>
      <c r="AF111" s="28">
        <v>225</v>
      </c>
      <c r="AG111" s="28">
        <v>228</v>
      </c>
      <c r="AH111" s="28">
        <v>225</v>
      </c>
      <c r="AI111" s="28">
        <v>224</v>
      </c>
      <c r="AJ111" s="28">
        <v>228</v>
      </c>
      <c r="AK111" s="28">
        <v>228</v>
      </c>
      <c r="AL111" s="28">
        <v>227</v>
      </c>
      <c r="AM111" s="28">
        <v>225</v>
      </c>
      <c r="AN111" s="28">
        <v>230</v>
      </c>
      <c r="AO111" s="28">
        <v>227</v>
      </c>
      <c r="AP111" s="28">
        <v>230</v>
      </c>
      <c r="AQ111" s="28">
        <v>227</v>
      </c>
      <c r="AR111" s="28">
        <v>225</v>
      </c>
      <c r="AS111" s="28">
        <v>230</v>
      </c>
      <c r="AT111" s="28">
        <v>227</v>
      </c>
      <c r="AU111" s="28">
        <v>229</v>
      </c>
      <c r="AV111" s="28">
        <v>228</v>
      </c>
      <c r="AW111" s="28">
        <v>225</v>
      </c>
      <c r="AX111" s="28">
        <v>228</v>
      </c>
      <c r="AY111" s="28">
        <v>228</v>
      </c>
      <c r="AZ111" s="28">
        <v>231</v>
      </c>
      <c r="BA111" s="28">
        <v>228</v>
      </c>
      <c r="BB111" s="28">
        <v>228</v>
      </c>
      <c r="BC111" s="28">
        <v>229</v>
      </c>
      <c r="BD111" s="28">
        <v>227</v>
      </c>
      <c r="BE111" s="28">
        <v>229</v>
      </c>
      <c r="BF111" s="28">
        <v>227</v>
      </c>
      <c r="BG111" s="28">
        <v>226</v>
      </c>
      <c r="BH111" s="28">
        <v>229</v>
      </c>
      <c r="BI111" s="28">
        <v>228</v>
      </c>
      <c r="BJ111" s="28">
        <v>227</v>
      </c>
      <c r="BK111" s="28">
        <v>226</v>
      </c>
      <c r="BL111" s="28">
        <v>226</v>
      </c>
      <c r="BM111" s="28">
        <v>226</v>
      </c>
      <c r="BN111" s="28">
        <v>227</v>
      </c>
      <c r="BO111" s="28">
        <v>229</v>
      </c>
      <c r="BP111" s="28">
        <v>228</v>
      </c>
      <c r="BQ111" s="28">
        <v>225</v>
      </c>
      <c r="BR111" s="28">
        <v>228</v>
      </c>
      <c r="BS111" s="28">
        <v>227</v>
      </c>
      <c r="BT111" s="28">
        <v>227</v>
      </c>
      <c r="BU111" s="28">
        <v>228</v>
      </c>
      <c r="BV111" s="28">
        <v>230</v>
      </c>
      <c r="BW111" s="28">
        <v>229</v>
      </c>
      <c r="BX111" s="28">
        <v>227</v>
      </c>
      <c r="BY111" s="28">
        <v>228</v>
      </c>
      <c r="BZ111" s="28">
        <v>225</v>
      </c>
      <c r="CA111" s="28">
        <v>225</v>
      </c>
      <c r="CB111" s="28">
        <v>221</v>
      </c>
      <c r="CC111" s="28">
        <v>227</v>
      </c>
    </row>
    <row r="112" spans="1:81" x14ac:dyDescent="0.25">
      <c r="A112" s="13" t="s">
        <v>295</v>
      </c>
      <c r="B112" s="14">
        <v>1</v>
      </c>
      <c r="C112" s="13" t="s">
        <v>296</v>
      </c>
      <c r="D112" s="15">
        <v>13714</v>
      </c>
      <c r="E112" s="16">
        <v>59.990365799999999</v>
      </c>
      <c r="F112" s="17">
        <v>0</v>
      </c>
      <c r="G112" s="13" t="s">
        <v>252</v>
      </c>
      <c r="H112" s="18">
        <v>228.60337351035119</v>
      </c>
      <c r="I112" s="16">
        <v>230.74438137431349</v>
      </c>
      <c r="J112" s="16">
        <v>180.10074115057</v>
      </c>
      <c r="K112" s="16">
        <v>160.6628357363245</v>
      </c>
      <c r="L112" s="16">
        <v>161.62130495374299</v>
      </c>
      <c r="M112" s="16">
        <v>92.556741138849006</v>
      </c>
      <c r="N112" s="16">
        <v>38.558527989635458</v>
      </c>
      <c r="O112" s="16">
        <v>491.44879103597401</v>
      </c>
      <c r="P112" s="19">
        <v>4.3743886393466527</v>
      </c>
      <c r="Q112" s="19">
        <v>0.50265438885772751</v>
      </c>
      <c r="R112" s="16">
        <v>11.490848900266039</v>
      </c>
      <c r="S112" s="16">
        <v>7.2923503245095897E-3</v>
      </c>
      <c r="T112" s="16">
        <v>7.2918185795537403E-3</v>
      </c>
      <c r="U112" s="14"/>
      <c r="V112" s="20">
        <v>230</v>
      </c>
      <c r="W112" s="20">
        <v>229</v>
      </c>
      <c r="X112" s="20">
        <v>228</v>
      </c>
      <c r="Y112" s="20">
        <v>230</v>
      </c>
      <c r="Z112" s="20">
        <v>228</v>
      </c>
      <c r="AA112" s="20">
        <v>228</v>
      </c>
      <c r="AB112" s="20">
        <v>224</v>
      </c>
      <c r="AC112" s="20">
        <v>231</v>
      </c>
      <c r="AD112" s="20">
        <v>228</v>
      </c>
      <c r="AE112" s="20">
        <v>226</v>
      </c>
      <c r="AF112" s="20">
        <v>225</v>
      </c>
      <c r="AG112" s="20">
        <v>228</v>
      </c>
      <c r="AH112" s="20">
        <v>228</v>
      </c>
      <c r="AI112" s="20">
        <v>229</v>
      </c>
      <c r="AJ112" s="20">
        <v>230</v>
      </c>
      <c r="AK112" s="20">
        <v>225</v>
      </c>
      <c r="AL112" s="20">
        <v>231</v>
      </c>
      <c r="AM112" s="20">
        <v>232</v>
      </c>
      <c r="AN112" s="20">
        <v>230</v>
      </c>
      <c r="AO112" s="20">
        <v>225</v>
      </c>
      <c r="AP112" s="20">
        <v>227</v>
      </c>
      <c r="AQ112" s="20">
        <v>230</v>
      </c>
      <c r="AR112" s="20">
        <v>232</v>
      </c>
      <c r="AS112" s="20">
        <v>229</v>
      </c>
      <c r="AT112" s="20">
        <v>230</v>
      </c>
      <c r="AU112" s="20">
        <v>229</v>
      </c>
      <c r="AV112" s="20">
        <v>228</v>
      </c>
      <c r="AW112" s="20">
        <v>229</v>
      </c>
      <c r="AX112" s="20">
        <v>228</v>
      </c>
      <c r="AY112" s="20">
        <v>225</v>
      </c>
      <c r="AZ112" s="20">
        <v>233</v>
      </c>
      <c r="BA112" s="20">
        <v>230</v>
      </c>
      <c r="BB112" s="20">
        <v>231</v>
      </c>
      <c r="BC112" s="20">
        <v>230</v>
      </c>
      <c r="BD112" s="20">
        <v>227</v>
      </c>
      <c r="BE112" s="20">
        <v>229</v>
      </c>
      <c r="BF112" s="20">
        <v>229</v>
      </c>
      <c r="BG112" s="20">
        <v>229</v>
      </c>
      <c r="BH112" s="20">
        <v>232</v>
      </c>
      <c r="BI112" s="20">
        <v>226</v>
      </c>
      <c r="BJ112" s="20">
        <v>228</v>
      </c>
      <c r="BK112" s="20">
        <v>227</v>
      </c>
      <c r="BL112" s="20">
        <v>230</v>
      </c>
      <c r="BM112" s="20">
        <v>231</v>
      </c>
      <c r="BN112" s="20">
        <v>231</v>
      </c>
      <c r="BO112" s="20">
        <v>232</v>
      </c>
      <c r="BP112" s="20">
        <v>232</v>
      </c>
      <c r="BQ112" s="20">
        <v>227</v>
      </c>
      <c r="BR112" s="20">
        <v>231</v>
      </c>
      <c r="BS112" s="20">
        <v>227</v>
      </c>
      <c r="BT112" s="20">
        <v>228</v>
      </c>
      <c r="BU112" s="20">
        <v>227</v>
      </c>
      <c r="BV112" s="20">
        <v>228</v>
      </c>
      <c r="BW112" s="20">
        <v>230</v>
      </c>
      <c r="BX112" s="20">
        <v>229</v>
      </c>
      <c r="BY112" s="20">
        <v>228</v>
      </c>
      <c r="BZ112" s="20">
        <v>228</v>
      </c>
      <c r="CA112" s="20">
        <v>226</v>
      </c>
      <c r="CB112" s="20">
        <v>227</v>
      </c>
      <c r="CC112" s="20">
        <v>219</v>
      </c>
    </row>
    <row r="113" spans="1:81" x14ac:dyDescent="0.25">
      <c r="A113" s="13" t="s">
        <v>295</v>
      </c>
      <c r="B113" s="14">
        <v>2</v>
      </c>
      <c r="C113" s="13" t="s">
        <v>296</v>
      </c>
      <c r="D113" s="15">
        <v>13723</v>
      </c>
      <c r="E113" s="16">
        <v>59.9935282</v>
      </c>
      <c r="F113" s="17">
        <v>0</v>
      </c>
      <c r="G113" s="13" t="s">
        <v>252</v>
      </c>
      <c r="H113" s="18">
        <v>228.741339470013</v>
      </c>
      <c r="I113" s="16">
        <v>230.8242734805992</v>
      </c>
      <c r="J113" s="16">
        <v>178.92531728826509</v>
      </c>
      <c r="K113" s="16">
        <v>161.17766459237461</v>
      </c>
      <c r="L113" s="16">
        <v>160.21278901065801</v>
      </c>
      <c r="M113" s="16">
        <v>89.598776678035733</v>
      </c>
      <c r="N113" s="16">
        <v>42.181456188230527</v>
      </c>
      <c r="O113" s="16">
        <v>357.67937620716788</v>
      </c>
      <c r="P113" s="19">
        <v>4.3717502149675731</v>
      </c>
      <c r="Q113" s="19">
        <v>0.50323557502212823</v>
      </c>
      <c r="R113" s="16">
        <v>11.51107794995238</v>
      </c>
      <c r="S113" s="16">
        <v>2.9150269639994172E-2</v>
      </c>
      <c r="T113" s="16">
        <v>2.1861109086934349E-2</v>
      </c>
      <c r="U113" s="14"/>
      <c r="V113" s="20">
        <v>230</v>
      </c>
      <c r="W113" s="20">
        <v>230</v>
      </c>
      <c r="X113" s="20">
        <v>229</v>
      </c>
      <c r="Y113" s="20">
        <v>226</v>
      </c>
      <c r="Z113" s="20">
        <v>228</v>
      </c>
      <c r="AA113" s="20">
        <v>228</v>
      </c>
      <c r="AB113" s="20">
        <v>231</v>
      </c>
      <c r="AC113" s="20">
        <v>230</v>
      </c>
      <c r="AD113" s="20">
        <v>232</v>
      </c>
      <c r="AE113" s="20">
        <v>230</v>
      </c>
      <c r="AF113" s="20">
        <v>230</v>
      </c>
      <c r="AG113" s="20">
        <v>229</v>
      </c>
      <c r="AH113" s="20">
        <v>229</v>
      </c>
      <c r="AI113" s="20">
        <v>229</v>
      </c>
      <c r="AJ113" s="20">
        <v>231</v>
      </c>
      <c r="AK113" s="20">
        <v>229</v>
      </c>
      <c r="AL113" s="20">
        <v>233</v>
      </c>
      <c r="AM113" s="20">
        <v>230</v>
      </c>
      <c r="AN113" s="20">
        <v>229</v>
      </c>
      <c r="AO113" s="20">
        <v>230</v>
      </c>
      <c r="AP113" s="20">
        <v>227</v>
      </c>
      <c r="AQ113" s="20">
        <v>228</v>
      </c>
      <c r="AR113" s="20">
        <v>229</v>
      </c>
      <c r="AS113" s="20">
        <v>231</v>
      </c>
      <c r="AT113" s="20">
        <v>231</v>
      </c>
      <c r="AU113" s="20">
        <v>225</v>
      </c>
      <c r="AV113" s="20">
        <v>229</v>
      </c>
      <c r="AW113" s="20">
        <v>228</v>
      </c>
      <c r="AX113" s="20">
        <v>229</v>
      </c>
      <c r="AY113" s="20">
        <v>230</v>
      </c>
      <c r="AZ113" s="20">
        <v>232</v>
      </c>
      <c r="BA113" s="20">
        <v>230</v>
      </c>
      <c r="BB113" s="20">
        <v>228</v>
      </c>
      <c r="BC113" s="20">
        <v>231</v>
      </c>
      <c r="BD113" s="20">
        <v>230</v>
      </c>
      <c r="BE113" s="20">
        <v>229</v>
      </c>
      <c r="BF113" s="20">
        <v>228</v>
      </c>
      <c r="BG113" s="20">
        <v>227</v>
      </c>
      <c r="BH113" s="20">
        <v>228</v>
      </c>
      <c r="BI113" s="20">
        <v>231</v>
      </c>
      <c r="BJ113" s="20">
        <v>229</v>
      </c>
      <c r="BK113" s="20">
        <v>229</v>
      </c>
      <c r="BL113" s="20">
        <v>228</v>
      </c>
      <c r="BM113" s="20">
        <v>231</v>
      </c>
      <c r="BN113" s="20">
        <v>230</v>
      </c>
      <c r="BO113" s="20">
        <v>222</v>
      </c>
      <c r="BP113" s="20">
        <v>229</v>
      </c>
      <c r="BQ113" s="20">
        <v>228</v>
      </c>
      <c r="BR113" s="20">
        <v>229</v>
      </c>
      <c r="BS113" s="20">
        <v>228</v>
      </c>
      <c r="BT113" s="20">
        <v>227</v>
      </c>
      <c r="BU113" s="20">
        <v>223</v>
      </c>
      <c r="BV113" s="20">
        <v>225</v>
      </c>
      <c r="BW113" s="20">
        <v>226</v>
      </c>
      <c r="BX113" s="20">
        <v>228</v>
      </c>
      <c r="BY113" s="20">
        <v>225</v>
      </c>
      <c r="BZ113" s="20">
        <v>229</v>
      </c>
      <c r="CA113" s="20">
        <v>226</v>
      </c>
      <c r="CB113" s="20">
        <v>229</v>
      </c>
      <c r="CC113" s="20">
        <v>228</v>
      </c>
    </row>
    <row r="114" spans="1:81" x14ac:dyDescent="0.25">
      <c r="A114" s="13" t="s">
        <v>295</v>
      </c>
      <c r="B114" s="14">
        <v>3</v>
      </c>
      <c r="C114" s="13" t="s">
        <v>296</v>
      </c>
      <c r="D114" s="15">
        <v>13688</v>
      </c>
      <c r="E114" s="16">
        <v>59.999488300000003</v>
      </c>
      <c r="F114" s="17">
        <v>0</v>
      </c>
      <c r="G114" s="13" t="s">
        <v>252</v>
      </c>
      <c r="H114" s="18">
        <v>228.13527894703719</v>
      </c>
      <c r="I114" s="16">
        <v>230.4970669248234</v>
      </c>
      <c r="J114" s="16">
        <v>178.13322084814229</v>
      </c>
      <c r="K114" s="16">
        <v>161.0290944308251</v>
      </c>
      <c r="L114" s="16">
        <v>161.5638312880518</v>
      </c>
      <c r="M114" s="16">
        <v>99.350907404954299</v>
      </c>
      <c r="N114" s="16">
        <v>42.729747168086007</v>
      </c>
      <c r="O114" s="16">
        <v>465.74449257137542</v>
      </c>
      <c r="P114" s="19">
        <v>4.3833641364699014</v>
      </c>
      <c r="Q114" s="19">
        <v>0.50164823460671659</v>
      </c>
      <c r="R114" s="16">
        <v>11.44436599352921</v>
      </c>
      <c r="S114" s="16">
        <v>7.3062029663184041E-3</v>
      </c>
      <c r="T114" s="16">
        <v>1.4611338398597309E-2</v>
      </c>
      <c r="U114" s="14"/>
      <c r="V114" s="20">
        <v>226</v>
      </c>
      <c r="W114" s="20">
        <v>230</v>
      </c>
      <c r="X114" s="20">
        <v>230</v>
      </c>
      <c r="Y114" s="20">
        <v>231</v>
      </c>
      <c r="Z114" s="20">
        <v>229</v>
      </c>
      <c r="AA114" s="20">
        <v>228</v>
      </c>
      <c r="AB114" s="20">
        <v>228</v>
      </c>
      <c r="AC114" s="20">
        <v>227</v>
      </c>
      <c r="AD114" s="20">
        <v>231</v>
      </c>
      <c r="AE114" s="20">
        <v>229</v>
      </c>
      <c r="AF114" s="20">
        <v>228</v>
      </c>
      <c r="AG114" s="20">
        <v>229</v>
      </c>
      <c r="AH114" s="20">
        <v>225</v>
      </c>
      <c r="AI114" s="20">
        <v>230</v>
      </c>
      <c r="AJ114" s="20">
        <v>230</v>
      </c>
      <c r="AK114" s="20">
        <v>228</v>
      </c>
      <c r="AL114" s="20">
        <v>231</v>
      </c>
      <c r="AM114" s="20">
        <v>226</v>
      </c>
      <c r="AN114" s="20">
        <v>229</v>
      </c>
      <c r="AO114" s="20">
        <v>231</v>
      </c>
      <c r="AP114" s="20">
        <v>226</v>
      </c>
      <c r="AQ114" s="20">
        <v>230</v>
      </c>
      <c r="AR114" s="20">
        <v>230</v>
      </c>
      <c r="AS114" s="20">
        <v>228</v>
      </c>
      <c r="AT114" s="20">
        <v>227</v>
      </c>
      <c r="AU114" s="20">
        <v>227</v>
      </c>
      <c r="AV114" s="20">
        <v>230</v>
      </c>
      <c r="AW114" s="20">
        <v>230</v>
      </c>
      <c r="AX114" s="20">
        <v>229</v>
      </c>
      <c r="AY114" s="20">
        <v>229</v>
      </c>
      <c r="AZ114" s="20">
        <v>227</v>
      </c>
      <c r="BA114" s="20">
        <v>227</v>
      </c>
      <c r="BB114" s="20">
        <v>223</v>
      </c>
      <c r="BC114" s="20">
        <v>227</v>
      </c>
      <c r="BD114" s="20">
        <v>230</v>
      </c>
      <c r="BE114" s="20">
        <v>230</v>
      </c>
      <c r="BF114" s="20">
        <v>229</v>
      </c>
      <c r="BG114" s="20">
        <v>229</v>
      </c>
      <c r="BH114" s="20">
        <v>228</v>
      </c>
      <c r="BI114" s="20">
        <v>227</v>
      </c>
      <c r="BJ114" s="20">
        <v>225</v>
      </c>
      <c r="BK114" s="20">
        <v>227</v>
      </c>
      <c r="BL114" s="20">
        <v>233</v>
      </c>
      <c r="BM114" s="20">
        <v>229</v>
      </c>
      <c r="BN114" s="20">
        <v>226</v>
      </c>
      <c r="BO114" s="20">
        <v>227</v>
      </c>
      <c r="BP114" s="20">
        <v>226</v>
      </c>
      <c r="BQ114" s="20">
        <v>226</v>
      </c>
      <c r="BR114" s="20">
        <v>228</v>
      </c>
      <c r="BS114" s="20">
        <v>227</v>
      </c>
      <c r="BT114" s="20">
        <v>229</v>
      </c>
      <c r="BU114" s="20">
        <v>228</v>
      </c>
      <c r="BV114" s="20">
        <v>231</v>
      </c>
      <c r="BW114" s="20">
        <v>230</v>
      </c>
      <c r="BX114" s="20">
        <v>230</v>
      </c>
      <c r="BY114" s="20">
        <v>227</v>
      </c>
      <c r="BZ114" s="20">
        <v>232</v>
      </c>
      <c r="CA114" s="20">
        <v>224</v>
      </c>
      <c r="CB114" s="20">
        <v>222</v>
      </c>
      <c r="CC114" s="20">
        <v>222</v>
      </c>
    </row>
    <row r="115" spans="1:81" x14ac:dyDescent="0.25">
      <c r="A115" s="13" t="s">
        <v>295</v>
      </c>
      <c r="B115" s="14">
        <v>4</v>
      </c>
      <c r="C115" s="13" t="s">
        <v>296</v>
      </c>
      <c r="D115" s="15">
        <v>13716</v>
      </c>
      <c r="E115" s="16">
        <v>59.997894700000003</v>
      </c>
      <c r="F115" s="17">
        <v>0</v>
      </c>
      <c r="G115" s="13" t="s">
        <v>252</v>
      </c>
      <c r="H115" s="18">
        <v>228.6080214744602</v>
      </c>
      <c r="I115" s="16">
        <v>230.58476295886371</v>
      </c>
      <c r="J115" s="16">
        <v>179.28649354165231</v>
      </c>
      <c r="K115" s="16">
        <v>162.4997400004159</v>
      </c>
      <c r="L115" s="16">
        <v>162.4269099622887</v>
      </c>
      <c r="M115" s="16">
        <v>97.559072018106946</v>
      </c>
      <c r="N115" s="16">
        <v>43.662211665669723</v>
      </c>
      <c r="O115" s="16">
        <v>464.7488032718316</v>
      </c>
      <c r="P115" s="19">
        <v>4.3742997010790319</v>
      </c>
      <c r="Q115" s="19">
        <v>0.49501238187386931</v>
      </c>
      <c r="R115" s="16">
        <v>11.31638012255452</v>
      </c>
      <c r="S115" s="16">
        <v>7.291286912139993E-3</v>
      </c>
      <c r="T115" s="16">
        <v>2.1872265966754151E-2</v>
      </c>
      <c r="U115" s="14"/>
      <c r="V115" s="20">
        <v>230</v>
      </c>
      <c r="W115" s="20">
        <v>230</v>
      </c>
      <c r="X115" s="20">
        <v>229</v>
      </c>
      <c r="Y115" s="20">
        <v>230</v>
      </c>
      <c r="Z115" s="20">
        <v>229</v>
      </c>
      <c r="AA115" s="20">
        <v>226</v>
      </c>
      <c r="AB115" s="20">
        <v>230</v>
      </c>
      <c r="AC115" s="20">
        <v>228</v>
      </c>
      <c r="AD115" s="20">
        <v>230</v>
      </c>
      <c r="AE115" s="20">
        <v>230</v>
      </c>
      <c r="AF115" s="20">
        <v>230</v>
      </c>
      <c r="AG115" s="20">
        <v>229</v>
      </c>
      <c r="AH115" s="20">
        <v>228</v>
      </c>
      <c r="AI115" s="20">
        <v>229</v>
      </c>
      <c r="AJ115" s="20">
        <v>229</v>
      </c>
      <c r="AK115" s="20">
        <v>228</v>
      </c>
      <c r="AL115" s="20">
        <v>228</v>
      </c>
      <c r="AM115" s="20">
        <v>229</v>
      </c>
      <c r="AN115" s="20">
        <v>224</v>
      </c>
      <c r="AO115" s="20">
        <v>225</v>
      </c>
      <c r="AP115" s="20">
        <v>230</v>
      </c>
      <c r="AQ115" s="20">
        <v>226</v>
      </c>
      <c r="AR115" s="20">
        <v>223</v>
      </c>
      <c r="AS115" s="20">
        <v>227</v>
      </c>
      <c r="AT115" s="20">
        <v>227</v>
      </c>
      <c r="AU115" s="20">
        <v>226</v>
      </c>
      <c r="AV115" s="20">
        <v>228</v>
      </c>
      <c r="AW115" s="20">
        <v>230</v>
      </c>
      <c r="AX115" s="20">
        <v>226</v>
      </c>
      <c r="AY115" s="20">
        <v>228</v>
      </c>
      <c r="AZ115" s="20">
        <v>228</v>
      </c>
      <c r="BA115" s="20">
        <v>227</v>
      </c>
      <c r="BB115" s="20">
        <v>228</v>
      </c>
      <c r="BC115" s="20">
        <v>230</v>
      </c>
      <c r="BD115" s="20">
        <v>229</v>
      </c>
      <c r="BE115" s="20">
        <v>227</v>
      </c>
      <c r="BF115" s="20">
        <v>231</v>
      </c>
      <c r="BG115" s="20">
        <v>228</v>
      </c>
      <c r="BH115" s="20">
        <v>228</v>
      </c>
      <c r="BI115" s="20">
        <v>229</v>
      </c>
      <c r="BJ115" s="20">
        <v>230</v>
      </c>
      <c r="BK115" s="20">
        <v>230</v>
      </c>
      <c r="BL115" s="20">
        <v>230</v>
      </c>
      <c r="BM115" s="20">
        <v>229</v>
      </c>
      <c r="BN115" s="20">
        <v>230</v>
      </c>
      <c r="BO115" s="20">
        <v>228</v>
      </c>
      <c r="BP115" s="20">
        <v>231</v>
      </c>
      <c r="BQ115" s="20">
        <v>229</v>
      </c>
      <c r="BR115" s="20">
        <v>229</v>
      </c>
      <c r="BS115" s="20">
        <v>229</v>
      </c>
      <c r="BT115" s="20">
        <v>230</v>
      </c>
      <c r="BU115" s="20">
        <v>228</v>
      </c>
      <c r="BV115" s="20">
        <v>230</v>
      </c>
      <c r="BW115" s="20">
        <v>228</v>
      </c>
      <c r="BX115" s="20">
        <v>229</v>
      </c>
      <c r="BY115" s="20">
        <v>228</v>
      </c>
      <c r="BZ115" s="20">
        <v>229</v>
      </c>
      <c r="CA115" s="20">
        <v>231</v>
      </c>
      <c r="CB115" s="20">
        <v>231</v>
      </c>
      <c r="CC115" s="20">
        <v>230</v>
      </c>
    </row>
    <row r="116" spans="1:81" x14ac:dyDescent="0.25">
      <c r="A116" s="13" t="s">
        <v>295</v>
      </c>
      <c r="B116" s="14">
        <v>5</v>
      </c>
      <c r="C116" s="13" t="s">
        <v>296</v>
      </c>
      <c r="D116" s="15">
        <v>13693</v>
      </c>
      <c r="E116" s="16">
        <v>59.9964984</v>
      </c>
      <c r="F116" s="17">
        <v>0</v>
      </c>
      <c r="G116" s="13" t="s">
        <v>252</v>
      </c>
      <c r="H116" s="18">
        <v>228.22998616865951</v>
      </c>
      <c r="I116" s="16">
        <v>230.6592240623703</v>
      </c>
      <c r="J116" s="16">
        <v>179.37103903903039</v>
      </c>
      <c r="K116" s="16">
        <v>161.763276656226</v>
      </c>
      <c r="L116" s="16">
        <v>160.53088390787121</v>
      </c>
      <c r="M116" s="16">
        <v>90.16549877299785</v>
      </c>
      <c r="N116" s="16">
        <v>37.281159593187994</v>
      </c>
      <c r="O116" s="16">
        <v>369.65843560550047</v>
      </c>
      <c r="P116" s="19">
        <v>4.3815451982764912</v>
      </c>
      <c r="Q116" s="19">
        <v>0.50625383957794112</v>
      </c>
      <c r="R116" s="16">
        <v>11.554230680470431</v>
      </c>
      <c r="S116" s="16">
        <v>2.191060473269062E-2</v>
      </c>
      <c r="T116" s="16">
        <v>1.4606003067260641E-2</v>
      </c>
      <c r="U116" s="14"/>
      <c r="V116" s="20">
        <v>227</v>
      </c>
      <c r="W116" s="20">
        <v>224</v>
      </c>
      <c r="X116" s="20">
        <v>227</v>
      </c>
      <c r="Y116" s="20">
        <v>232</v>
      </c>
      <c r="Z116" s="20">
        <v>227</v>
      </c>
      <c r="AA116" s="20">
        <v>223</v>
      </c>
      <c r="AB116" s="20">
        <v>231</v>
      </c>
      <c r="AC116" s="20">
        <v>226</v>
      </c>
      <c r="AD116" s="20">
        <v>229</v>
      </c>
      <c r="AE116" s="20">
        <v>227</v>
      </c>
      <c r="AF116" s="20">
        <v>230</v>
      </c>
      <c r="AG116" s="20">
        <v>226</v>
      </c>
      <c r="AH116" s="20">
        <v>228</v>
      </c>
      <c r="AI116" s="20">
        <v>228</v>
      </c>
      <c r="AJ116" s="20">
        <v>228</v>
      </c>
      <c r="AK116" s="20">
        <v>227</v>
      </c>
      <c r="AL116" s="20">
        <v>227</v>
      </c>
      <c r="AM116" s="20">
        <v>228</v>
      </c>
      <c r="AN116" s="20">
        <v>231</v>
      </c>
      <c r="AO116" s="20">
        <v>232</v>
      </c>
      <c r="AP116" s="20">
        <v>228</v>
      </c>
      <c r="AQ116" s="20">
        <v>225</v>
      </c>
      <c r="AR116" s="20">
        <v>229</v>
      </c>
      <c r="AS116" s="20">
        <v>228</v>
      </c>
      <c r="AT116" s="20">
        <v>229</v>
      </c>
      <c r="AU116" s="20">
        <v>231</v>
      </c>
      <c r="AV116" s="20">
        <v>230</v>
      </c>
      <c r="AW116" s="20">
        <v>231</v>
      </c>
      <c r="AX116" s="20">
        <v>228</v>
      </c>
      <c r="AY116" s="20">
        <v>228</v>
      </c>
      <c r="AZ116" s="20">
        <v>230</v>
      </c>
      <c r="BA116" s="20">
        <v>228</v>
      </c>
      <c r="BB116" s="20">
        <v>228</v>
      </c>
      <c r="BC116" s="20">
        <v>233</v>
      </c>
      <c r="BD116" s="20">
        <v>229</v>
      </c>
      <c r="BE116" s="20">
        <v>229</v>
      </c>
      <c r="BF116" s="20">
        <v>228</v>
      </c>
      <c r="BG116" s="20">
        <v>232</v>
      </c>
      <c r="BH116" s="20">
        <v>225</v>
      </c>
      <c r="BI116" s="20">
        <v>229</v>
      </c>
      <c r="BJ116" s="20">
        <v>228</v>
      </c>
      <c r="BK116" s="20">
        <v>226</v>
      </c>
      <c r="BL116" s="20">
        <v>227</v>
      </c>
      <c r="BM116" s="20">
        <v>230</v>
      </c>
      <c r="BN116" s="20">
        <v>229</v>
      </c>
      <c r="BO116" s="20">
        <v>231</v>
      </c>
      <c r="BP116" s="20">
        <v>228</v>
      </c>
      <c r="BQ116" s="20">
        <v>228</v>
      </c>
      <c r="BR116" s="20">
        <v>228</v>
      </c>
      <c r="BS116" s="20">
        <v>226</v>
      </c>
      <c r="BT116" s="20">
        <v>228</v>
      </c>
      <c r="BU116" s="20">
        <v>223</v>
      </c>
      <c r="BV116" s="20">
        <v>228</v>
      </c>
      <c r="BW116" s="20">
        <v>227</v>
      </c>
      <c r="BX116" s="20">
        <v>229</v>
      </c>
      <c r="BY116" s="20">
        <v>226</v>
      </c>
      <c r="BZ116" s="20">
        <v>228</v>
      </c>
      <c r="CA116" s="20">
        <v>229</v>
      </c>
      <c r="CB116" s="20">
        <v>228</v>
      </c>
      <c r="CC116" s="20">
        <v>230</v>
      </c>
    </row>
    <row r="117" spans="1:81" x14ac:dyDescent="0.25">
      <c r="A117" s="21" t="s">
        <v>297</v>
      </c>
      <c r="B117" s="22">
        <v>1</v>
      </c>
      <c r="C117" s="21" t="s">
        <v>298</v>
      </c>
      <c r="D117" s="23">
        <v>13694</v>
      </c>
      <c r="E117" s="24">
        <v>59.986541799999991</v>
      </c>
      <c r="F117" s="25">
        <v>0</v>
      </c>
      <c r="G117" s="21" t="s">
        <v>252</v>
      </c>
      <c r="H117" s="26">
        <v>228.28453831622619</v>
      </c>
      <c r="I117" s="24">
        <v>230.34840195796141</v>
      </c>
      <c r="J117" s="24">
        <v>177.85843855586779</v>
      </c>
      <c r="K117" s="24">
        <v>159.3219944188549</v>
      </c>
      <c r="L117" s="24">
        <v>163.5120134258228</v>
      </c>
      <c r="M117" s="24">
        <v>122.7084202517977</v>
      </c>
      <c r="N117" s="24">
        <v>81.106289792773438</v>
      </c>
      <c r="O117" s="24">
        <v>330.21827427929861</v>
      </c>
      <c r="P117" s="27">
        <v>4.3804981597780044</v>
      </c>
      <c r="Q117" s="27">
        <v>0.47248048706537599</v>
      </c>
      <c r="R117" s="24">
        <v>10.7859989853145</v>
      </c>
      <c r="S117" s="24">
        <v>2.1909004600890961E-2</v>
      </c>
      <c r="T117" s="24">
        <v>2.190740470278954E-2</v>
      </c>
      <c r="U117" s="22"/>
      <c r="V117" s="28">
        <v>229</v>
      </c>
      <c r="W117" s="28">
        <v>229</v>
      </c>
      <c r="X117" s="28">
        <v>230</v>
      </c>
      <c r="Y117" s="28">
        <v>229</v>
      </c>
      <c r="Z117" s="28">
        <v>228</v>
      </c>
      <c r="AA117" s="28">
        <v>227</v>
      </c>
      <c r="AB117" s="28">
        <v>229</v>
      </c>
      <c r="AC117" s="28">
        <v>232</v>
      </c>
      <c r="AD117" s="28">
        <v>228</v>
      </c>
      <c r="AE117" s="28">
        <v>228</v>
      </c>
      <c r="AF117" s="28">
        <v>230</v>
      </c>
      <c r="AG117" s="28">
        <v>228</v>
      </c>
      <c r="AH117" s="28">
        <v>228</v>
      </c>
      <c r="AI117" s="28">
        <v>228</v>
      </c>
      <c r="AJ117" s="28">
        <v>227</v>
      </c>
      <c r="AK117" s="28">
        <v>222</v>
      </c>
      <c r="AL117" s="28">
        <v>228</v>
      </c>
      <c r="AM117" s="28">
        <v>228</v>
      </c>
      <c r="AN117" s="28">
        <v>225</v>
      </c>
      <c r="AO117" s="28">
        <v>227</v>
      </c>
      <c r="AP117" s="28">
        <v>226</v>
      </c>
      <c r="AQ117" s="28">
        <v>228</v>
      </c>
      <c r="AR117" s="28">
        <v>227</v>
      </c>
      <c r="AS117" s="28">
        <v>231</v>
      </c>
      <c r="AT117" s="28">
        <v>227</v>
      </c>
      <c r="AU117" s="28">
        <v>224</v>
      </c>
      <c r="AV117" s="28">
        <v>228</v>
      </c>
      <c r="AW117" s="28">
        <v>231</v>
      </c>
      <c r="AX117" s="28">
        <v>229</v>
      </c>
      <c r="AY117" s="28">
        <v>226</v>
      </c>
      <c r="AZ117" s="28">
        <v>228</v>
      </c>
      <c r="BA117" s="28">
        <v>228</v>
      </c>
      <c r="BB117" s="28">
        <v>228</v>
      </c>
      <c r="BC117" s="28">
        <v>230</v>
      </c>
      <c r="BD117" s="28">
        <v>228</v>
      </c>
      <c r="BE117" s="28">
        <v>225</v>
      </c>
      <c r="BF117" s="28">
        <v>228</v>
      </c>
      <c r="BG117" s="28">
        <v>228</v>
      </c>
      <c r="BH117" s="28">
        <v>228</v>
      </c>
      <c r="BI117" s="28">
        <v>227</v>
      </c>
      <c r="BJ117" s="28">
        <v>229</v>
      </c>
      <c r="BK117" s="28">
        <v>232</v>
      </c>
      <c r="BL117" s="28">
        <v>229</v>
      </c>
      <c r="BM117" s="28">
        <v>228</v>
      </c>
      <c r="BN117" s="28">
        <v>229</v>
      </c>
      <c r="BO117" s="28">
        <v>226</v>
      </c>
      <c r="BP117" s="28">
        <v>227</v>
      </c>
      <c r="BQ117" s="28">
        <v>230</v>
      </c>
      <c r="BR117" s="28">
        <v>226</v>
      </c>
      <c r="BS117" s="28">
        <v>231</v>
      </c>
      <c r="BT117" s="28">
        <v>229</v>
      </c>
      <c r="BU117" s="28">
        <v>229</v>
      </c>
      <c r="BV117" s="28">
        <v>229</v>
      </c>
      <c r="BW117" s="28">
        <v>231</v>
      </c>
      <c r="BX117" s="28">
        <v>232</v>
      </c>
      <c r="BY117" s="28">
        <v>225</v>
      </c>
      <c r="BZ117" s="28">
        <v>229</v>
      </c>
      <c r="CA117" s="28">
        <v>230</v>
      </c>
      <c r="CB117" s="28">
        <v>229</v>
      </c>
      <c r="CC117" s="28">
        <v>229</v>
      </c>
    </row>
    <row r="118" spans="1:81" x14ac:dyDescent="0.25">
      <c r="A118" s="21" t="s">
        <v>297</v>
      </c>
      <c r="B118" s="22">
        <v>2</v>
      </c>
      <c r="C118" s="21" t="s">
        <v>298</v>
      </c>
      <c r="D118" s="23">
        <v>13690</v>
      </c>
      <c r="E118" s="24">
        <v>59.999332299999992</v>
      </c>
      <c r="F118" s="25">
        <v>0</v>
      </c>
      <c r="G118" s="21" t="s">
        <v>252</v>
      </c>
      <c r="H118" s="26">
        <v>228.16920580964529</v>
      </c>
      <c r="I118" s="24">
        <v>230.77100593081479</v>
      </c>
      <c r="J118" s="24">
        <v>178.38864392163879</v>
      </c>
      <c r="K118" s="24">
        <v>162.0657812040607</v>
      </c>
      <c r="L118" s="24">
        <v>161.08905501174621</v>
      </c>
      <c r="M118" s="24">
        <v>92.391413142062589</v>
      </c>
      <c r="N118" s="24">
        <v>43.574693560967532</v>
      </c>
      <c r="O118" s="24">
        <v>417.83311745288933</v>
      </c>
      <c r="P118" s="27">
        <v>4.382712366691015</v>
      </c>
      <c r="Q118" s="27">
        <v>0.50052655734736207</v>
      </c>
      <c r="R118" s="24">
        <v>11.42047470765835</v>
      </c>
      <c r="S118" s="24">
        <v>2.1915406530791149E-2</v>
      </c>
      <c r="T118" s="24">
        <v>1.460920379839299E-2</v>
      </c>
      <c r="U118" s="22"/>
      <c r="V118" s="28">
        <v>230</v>
      </c>
      <c r="W118" s="28">
        <v>224</v>
      </c>
      <c r="X118" s="28">
        <v>228</v>
      </c>
      <c r="Y118" s="28">
        <v>227</v>
      </c>
      <c r="Z118" s="28">
        <v>228</v>
      </c>
      <c r="AA118" s="28">
        <v>230</v>
      </c>
      <c r="AB118" s="28">
        <v>230</v>
      </c>
      <c r="AC118" s="28">
        <v>229</v>
      </c>
      <c r="AD118" s="28">
        <v>226</v>
      </c>
      <c r="AE118" s="28">
        <v>230</v>
      </c>
      <c r="AF118" s="28">
        <v>230</v>
      </c>
      <c r="AG118" s="28">
        <v>225</v>
      </c>
      <c r="AH118" s="28">
        <v>229</v>
      </c>
      <c r="AI118" s="28">
        <v>229</v>
      </c>
      <c r="AJ118" s="28">
        <v>228</v>
      </c>
      <c r="AK118" s="28">
        <v>226</v>
      </c>
      <c r="AL118" s="28">
        <v>227</v>
      </c>
      <c r="AM118" s="28">
        <v>226</v>
      </c>
      <c r="AN118" s="28">
        <v>229</v>
      </c>
      <c r="AO118" s="28">
        <v>229</v>
      </c>
      <c r="AP118" s="28">
        <v>229</v>
      </c>
      <c r="AQ118" s="28">
        <v>226</v>
      </c>
      <c r="AR118" s="28">
        <v>228</v>
      </c>
      <c r="AS118" s="28">
        <v>227</v>
      </c>
      <c r="AT118" s="28">
        <v>229</v>
      </c>
      <c r="AU118" s="28">
        <v>229</v>
      </c>
      <c r="AV118" s="28">
        <v>227</v>
      </c>
      <c r="AW118" s="28">
        <v>229</v>
      </c>
      <c r="AX118" s="28">
        <v>228</v>
      </c>
      <c r="AY118" s="28">
        <v>232</v>
      </c>
      <c r="AZ118" s="28">
        <v>226</v>
      </c>
      <c r="BA118" s="28">
        <v>228</v>
      </c>
      <c r="BB118" s="28">
        <v>228</v>
      </c>
      <c r="BC118" s="28">
        <v>229</v>
      </c>
      <c r="BD118" s="28">
        <v>229</v>
      </c>
      <c r="BE118" s="28">
        <v>229</v>
      </c>
      <c r="BF118" s="28">
        <v>229</v>
      </c>
      <c r="BG118" s="28">
        <v>229</v>
      </c>
      <c r="BH118" s="28">
        <v>228</v>
      </c>
      <c r="BI118" s="28">
        <v>232</v>
      </c>
      <c r="BJ118" s="28">
        <v>228</v>
      </c>
      <c r="BK118" s="28">
        <v>226</v>
      </c>
      <c r="BL118" s="28">
        <v>226</v>
      </c>
      <c r="BM118" s="28">
        <v>226</v>
      </c>
      <c r="BN118" s="28">
        <v>226</v>
      </c>
      <c r="BO118" s="28">
        <v>230</v>
      </c>
      <c r="BP118" s="28">
        <v>223</v>
      </c>
      <c r="BQ118" s="28">
        <v>231</v>
      </c>
      <c r="BR118" s="28">
        <v>231</v>
      </c>
      <c r="BS118" s="28">
        <v>229</v>
      </c>
      <c r="BT118" s="28">
        <v>228</v>
      </c>
      <c r="BU118" s="28">
        <v>223</v>
      </c>
      <c r="BV118" s="28">
        <v>227</v>
      </c>
      <c r="BW118" s="28">
        <v>232</v>
      </c>
      <c r="BX118" s="28">
        <v>230</v>
      </c>
      <c r="BY118" s="28">
        <v>230</v>
      </c>
      <c r="BZ118" s="28">
        <v>227</v>
      </c>
      <c r="CA118" s="28">
        <v>229</v>
      </c>
      <c r="CB118" s="28">
        <v>228</v>
      </c>
      <c r="CC118" s="28">
        <v>229</v>
      </c>
    </row>
    <row r="119" spans="1:81" x14ac:dyDescent="0.25">
      <c r="A119" s="21" t="s">
        <v>297</v>
      </c>
      <c r="B119" s="22">
        <v>3</v>
      </c>
      <c r="C119" s="21" t="s">
        <v>298</v>
      </c>
      <c r="D119" s="23">
        <v>13679</v>
      </c>
      <c r="E119" s="24">
        <v>59.985591100000001</v>
      </c>
      <c r="F119" s="25">
        <v>0</v>
      </c>
      <c r="G119" s="21" t="s">
        <v>252</v>
      </c>
      <c r="H119" s="26">
        <v>228.03809630209679</v>
      </c>
      <c r="I119" s="24">
        <v>230.1866813986143</v>
      </c>
      <c r="J119" s="24">
        <v>177.6904014843546</v>
      </c>
      <c r="K119" s="24">
        <v>162.19808246182851</v>
      </c>
      <c r="L119" s="24">
        <v>160.3821924179567</v>
      </c>
      <c r="M119" s="24">
        <v>83.025860895151624</v>
      </c>
      <c r="N119" s="24">
        <v>40.968327386097812</v>
      </c>
      <c r="O119" s="24">
        <v>414.09582177315832</v>
      </c>
      <c r="P119" s="27">
        <v>4.3852321880254399</v>
      </c>
      <c r="Q119" s="27">
        <v>0.50054597902619036</v>
      </c>
      <c r="R119" s="24">
        <v>11.414355216880169</v>
      </c>
      <c r="S119" s="24">
        <v>3.6555051908173708E-2</v>
      </c>
      <c r="T119" s="24">
        <v>2.193142773594561E-2</v>
      </c>
      <c r="U119" s="22"/>
      <c r="V119" s="28">
        <v>229</v>
      </c>
      <c r="W119" s="28">
        <v>227</v>
      </c>
      <c r="X119" s="28">
        <v>227</v>
      </c>
      <c r="Y119" s="28">
        <v>228</v>
      </c>
      <c r="Z119" s="28">
        <v>229</v>
      </c>
      <c r="AA119" s="28">
        <v>231</v>
      </c>
      <c r="AB119" s="28">
        <v>227</v>
      </c>
      <c r="AC119" s="28">
        <v>228</v>
      </c>
      <c r="AD119" s="28">
        <v>228</v>
      </c>
      <c r="AE119" s="28">
        <v>229</v>
      </c>
      <c r="AF119" s="28">
        <v>228</v>
      </c>
      <c r="AG119" s="28">
        <v>226</v>
      </c>
      <c r="AH119" s="28">
        <v>227</v>
      </c>
      <c r="AI119" s="28">
        <v>230</v>
      </c>
      <c r="AJ119" s="28">
        <v>229</v>
      </c>
      <c r="AK119" s="28">
        <v>229</v>
      </c>
      <c r="AL119" s="28">
        <v>226</v>
      </c>
      <c r="AM119" s="28">
        <v>226</v>
      </c>
      <c r="AN119" s="28">
        <v>229</v>
      </c>
      <c r="AO119" s="28">
        <v>228</v>
      </c>
      <c r="AP119" s="28">
        <v>231</v>
      </c>
      <c r="AQ119" s="28">
        <v>229</v>
      </c>
      <c r="AR119" s="28">
        <v>227</v>
      </c>
      <c r="AS119" s="28">
        <v>229</v>
      </c>
      <c r="AT119" s="28">
        <v>228</v>
      </c>
      <c r="AU119" s="28">
        <v>229</v>
      </c>
      <c r="AV119" s="28">
        <v>227</v>
      </c>
      <c r="AW119" s="28">
        <v>230</v>
      </c>
      <c r="AX119" s="28">
        <v>229</v>
      </c>
      <c r="AY119" s="28">
        <v>227</v>
      </c>
      <c r="AZ119" s="28">
        <v>228</v>
      </c>
      <c r="BA119" s="28">
        <v>229</v>
      </c>
      <c r="BB119" s="28">
        <v>230</v>
      </c>
      <c r="BC119" s="28">
        <v>223</v>
      </c>
      <c r="BD119" s="28">
        <v>230</v>
      </c>
      <c r="BE119" s="28">
        <v>230</v>
      </c>
      <c r="BF119" s="28">
        <v>226</v>
      </c>
      <c r="BG119" s="28">
        <v>230</v>
      </c>
      <c r="BH119" s="28">
        <v>227</v>
      </c>
      <c r="BI119" s="28">
        <v>228</v>
      </c>
      <c r="BJ119" s="28">
        <v>229</v>
      </c>
      <c r="BK119" s="28">
        <v>228</v>
      </c>
      <c r="BL119" s="28">
        <v>229</v>
      </c>
      <c r="BM119" s="28">
        <v>228</v>
      </c>
      <c r="BN119" s="28">
        <v>228</v>
      </c>
      <c r="BO119" s="28">
        <v>229</v>
      </c>
      <c r="BP119" s="28">
        <v>222</v>
      </c>
      <c r="BQ119" s="28">
        <v>226</v>
      </c>
      <c r="BR119" s="28">
        <v>228</v>
      </c>
      <c r="BS119" s="28">
        <v>227</v>
      </c>
      <c r="BT119" s="28">
        <v>230</v>
      </c>
      <c r="BU119" s="28">
        <v>227</v>
      </c>
      <c r="BV119" s="28">
        <v>228</v>
      </c>
      <c r="BW119" s="28">
        <v>229</v>
      </c>
      <c r="BX119" s="28">
        <v>227</v>
      </c>
      <c r="BY119" s="28">
        <v>228</v>
      </c>
      <c r="BZ119" s="28">
        <v>227</v>
      </c>
      <c r="CA119" s="28">
        <v>229</v>
      </c>
      <c r="CB119" s="28">
        <v>226</v>
      </c>
      <c r="CC119" s="28">
        <v>226</v>
      </c>
    </row>
    <row r="120" spans="1:81" x14ac:dyDescent="0.25">
      <c r="A120" s="21" t="s">
        <v>297</v>
      </c>
      <c r="B120" s="22">
        <v>4</v>
      </c>
      <c r="C120" s="21" t="s">
        <v>298</v>
      </c>
      <c r="D120" s="23">
        <v>13663</v>
      </c>
      <c r="E120" s="24">
        <v>59.988131099999997</v>
      </c>
      <c r="F120" s="25">
        <v>0</v>
      </c>
      <c r="G120" s="21" t="s">
        <v>252</v>
      </c>
      <c r="H120" s="26">
        <v>227.7617213515758</v>
      </c>
      <c r="I120" s="24">
        <v>230.25558369790471</v>
      </c>
      <c r="J120" s="24">
        <v>179.00282538059591</v>
      </c>
      <c r="K120" s="24">
        <v>162.6619828690902</v>
      </c>
      <c r="L120" s="24">
        <v>161.13858865521209</v>
      </c>
      <c r="M120" s="24">
        <v>90.328116884583267</v>
      </c>
      <c r="N120" s="24">
        <v>40.138880526622117</v>
      </c>
      <c r="O120" s="24">
        <v>335.24422541821718</v>
      </c>
      <c r="P120" s="27">
        <v>4.3905533996926014</v>
      </c>
      <c r="Q120" s="27">
        <v>0.5031999418928591</v>
      </c>
      <c r="R120" s="24">
        <v>11.46096849495305</v>
      </c>
      <c r="S120" s="24">
        <v>2.1958717610891521E-2</v>
      </c>
      <c r="T120" s="24">
        <v>2.1957110444265539E-2</v>
      </c>
      <c r="U120" s="22"/>
      <c r="V120" s="28">
        <v>228</v>
      </c>
      <c r="W120" s="28">
        <v>228</v>
      </c>
      <c r="X120" s="28">
        <v>226</v>
      </c>
      <c r="Y120" s="28">
        <v>228</v>
      </c>
      <c r="Z120" s="28">
        <v>230</v>
      </c>
      <c r="AA120" s="28">
        <v>230</v>
      </c>
      <c r="AB120" s="28">
        <v>229</v>
      </c>
      <c r="AC120" s="28">
        <v>228</v>
      </c>
      <c r="AD120" s="28">
        <v>226</v>
      </c>
      <c r="AE120" s="28">
        <v>228</v>
      </c>
      <c r="AF120" s="28">
        <v>228</v>
      </c>
      <c r="AG120" s="28">
        <v>227</v>
      </c>
      <c r="AH120" s="28">
        <v>226</v>
      </c>
      <c r="AI120" s="28">
        <v>231</v>
      </c>
      <c r="AJ120" s="28">
        <v>226</v>
      </c>
      <c r="AK120" s="28">
        <v>227</v>
      </c>
      <c r="AL120" s="28">
        <v>230</v>
      </c>
      <c r="AM120" s="28">
        <v>231</v>
      </c>
      <c r="AN120" s="28">
        <v>229</v>
      </c>
      <c r="AO120" s="28">
        <v>221</v>
      </c>
      <c r="AP120" s="28">
        <v>228</v>
      </c>
      <c r="AQ120" s="28">
        <v>229</v>
      </c>
      <c r="AR120" s="28">
        <v>225</v>
      </c>
      <c r="AS120" s="28">
        <v>229</v>
      </c>
      <c r="AT120" s="28">
        <v>229</v>
      </c>
      <c r="AU120" s="28">
        <v>230</v>
      </c>
      <c r="AV120" s="28">
        <v>230</v>
      </c>
      <c r="AW120" s="28">
        <v>229</v>
      </c>
      <c r="AX120" s="28">
        <v>229</v>
      </c>
      <c r="AY120" s="28">
        <v>226</v>
      </c>
      <c r="AZ120" s="28">
        <v>228</v>
      </c>
      <c r="BA120" s="28">
        <v>227</v>
      </c>
      <c r="BB120" s="28">
        <v>226</v>
      </c>
      <c r="BC120" s="28">
        <v>227</v>
      </c>
      <c r="BD120" s="28">
        <v>227</v>
      </c>
      <c r="BE120" s="28">
        <v>227</v>
      </c>
      <c r="BF120" s="28">
        <v>230</v>
      </c>
      <c r="BG120" s="28">
        <v>228</v>
      </c>
      <c r="BH120" s="28">
        <v>227</v>
      </c>
      <c r="BI120" s="28">
        <v>230</v>
      </c>
      <c r="BJ120" s="28">
        <v>225</v>
      </c>
      <c r="BK120" s="28">
        <v>229</v>
      </c>
      <c r="BL120" s="28">
        <v>226</v>
      </c>
      <c r="BM120" s="28">
        <v>226</v>
      </c>
      <c r="BN120" s="28">
        <v>226</v>
      </c>
      <c r="BO120" s="28">
        <v>227</v>
      </c>
      <c r="BP120" s="28">
        <v>227</v>
      </c>
      <c r="BQ120" s="28">
        <v>226</v>
      </c>
      <c r="BR120" s="28">
        <v>228</v>
      </c>
      <c r="BS120" s="28">
        <v>230</v>
      </c>
      <c r="BT120" s="28">
        <v>229</v>
      </c>
      <c r="BU120" s="28">
        <v>227</v>
      </c>
      <c r="BV120" s="28">
        <v>225</v>
      </c>
      <c r="BW120" s="28">
        <v>228</v>
      </c>
      <c r="BX120" s="28">
        <v>225</v>
      </c>
      <c r="BY120" s="28">
        <v>229</v>
      </c>
      <c r="BZ120" s="28">
        <v>229</v>
      </c>
      <c r="CA120" s="28">
        <v>229</v>
      </c>
      <c r="CB120" s="28">
        <v>229</v>
      </c>
      <c r="CC120" s="28">
        <v>225</v>
      </c>
    </row>
    <row r="121" spans="1:81" x14ac:dyDescent="0.25">
      <c r="A121" s="21" t="s">
        <v>297</v>
      </c>
      <c r="B121" s="22">
        <v>5</v>
      </c>
      <c r="C121" s="21" t="s">
        <v>298</v>
      </c>
      <c r="D121" s="23">
        <v>13688</v>
      </c>
      <c r="E121" s="24">
        <v>59.997696500000004</v>
      </c>
      <c r="F121" s="25">
        <v>0</v>
      </c>
      <c r="G121" s="21" t="s">
        <v>252</v>
      </c>
      <c r="H121" s="26">
        <v>228.14209208848541</v>
      </c>
      <c r="I121" s="24">
        <v>230.4997234003319</v>
      </c>
      <c r="J121" s="24">
        <v>178.8556813507181</v>
      </c>
      <c r="K121" s="24">
        <v>163.4931074085296</v>
      </c>
      <c r="L121" s="24">
        <v>160.58961885792311</v>
      </c>
      <c r="M121" s="24">
        <v>82.314824570645868</v>
      </c>
      <c r="N121" s="24">
        <v>37.670458826188501</v>
      </c>
      <c r="O121" s="24">
        <v>425.47759860443352</v>
      </c>
      <c r="P121" s="27">
        <v>4.3832332334891877</v>
      </c>
      <c r="Q121" s="27">
        <v>0.50678952082388029</v>
      </c>
      <c r="R121" s="24">
        <v>11.562002152928111</v>
      </c>
      <c r="S121" s="24">
        <v>2.1918608898955212E-2</v>
      </c>
      <c r="T121" s="24">
        <v>1.4611338398597309E-2</v>
      </c>
      <c r="U121" s="22"/>
      <c r="V121" s="28">
        <v>228</v>
      </c>
      <c r="W121" s="28">
        <v>229</v>
      </c>
      <c r="X121" s="28">
        <v>227</v>
      </c>
      <c r="Y121" s="28">
        <v>230</v>
      </c>
      <c r="Z121" s="28">
        <v>231</v>
      </c>
      <c r="AA121" s="28">
        <v>228</v>
      </c>
      <c r="AB121" s="28">
        <v>224</v>
      </c>
      <c r="AC121" s="28">
        <v>227</v>
      </c>
      <c r="AD121" s="28">
        <v>227</v>
      </c>
      <c r="AE121" s="28">
        <v>230</v>
      </c>
      <c r="AF121" s="28">
        <v>230</v>
      </c>
      <c r="AG121" s="28">
        <v>230</v>
      </c>
      <c r="AH121" s="28">
        <v>228</v>
      </c>
      <c r="AI121" s="28">
        <v>228</v>
      </c>
      <c r="AJ121" s="28">
        <v>230</v>
      </c>
      <c r="AK121" s="28">
        <v>230</v>
      </c>
      <c r="AL121" s="28">
        <v>228</v>
      </c>
      <c r="AM121" s="28">
        <v>219</v>
      </c>
      <c r="AN121" s="28">
        <v>229</v>
      </c>
      <c r="AO121" s="28">
        <v>231</v>
      </c>
      <c r="AP121" s="28">
        <v>229</v>
      </c>
      <c r="AQ121" s="28">
        <v>231</v>
      </c>
      <c r="AR121" s="28">
        <v>227</v>
      </c>
      <c r="AS121" s="28">
        <v>225</v>
      </c>
      <c r="AT121" s="28">
        <v>227</v>
      </c>
      <c r="AU121" s="28">
        <v>227</v>
      </c>
      <c r="AV121" s="28">
        <v>231</v>
      </c>
      <c r="AW121" s="28">
        <v>224</v>
      </c>
      <c r="AX121" s="28">
        <v>228</v>
      </c>
      <c r="AY121" s="28">
        <v>227</v>
      </c>
      <c r="AZ121" s="28">
        <v>227</v>
      </c>
      <c r="BA121" s="28">
        <v>227</v>
      </c>
      <c r="BB121" s="28">
        <v>227</v>
      </c>
      <c r="BC121" s="28">
        <v>229</v>
      </c>
      <c r="BD121" s="28">
        <v>232</v>
      </c>
      <c r="BE121" s="28">
        <v>229</v>
      </c>
      <c r="BF121" s="28">
        <v>229</v>
      </c>
      <c r="BG121" s="28">
        <v>227</v>
      </c>
      <c r="BH121" s="28">
        <v>229</v>
      </c>
      <c r="BI121" s="28">
        <v>228</v>
      </c>
      <c r="BJ121" s="28">
        <v>228</v>
      </c>
      <c r="BK121" s="28">
        <v>227</v>
      </c>
      <c r="BL121" s="28">
        <v>229</v>
      </c>
      <c r="BM121" s="28">
        <v>227</v>
      </c>
      <c r="BN121" s="28">
        <v>227</v>
      </c>
      <c r="BO121" s="28">
        <v>228</v>
      </c>
      <c r="BP121" s="28">
        <v>230</v>
      </c>
      <c r="BQ121" s="28">
        <v>223</v>
      </c>
      <c r="BR121" s="28">
        <v>229</v>
      </c>
      <c r="BS121" s="28">
        <v>228</v>
      </c>
      <c r="BT121" s="28">
        <v>232</v>
      </c>
      <c r="BU121" s="28">
        <v>230</v>
      </c>
      <c r="BV121" s="28">
        <v>229</v>
      </c>
      <c r="BW121" s="28">
        <v>229</v>
      </c>
      <c r="BX121" s="28">
        <v>230</v>
      </c>
      <c r="BY121" s="28">
        <v>227</v>
      </c>
      <c r="BZ121" s="28">
        <v>230</v>
      </c>
      <c r="CA121" s="28">
        <v>225</v>
      </c>
      <c r="CB121" s="28">
        <v>230</v>
      </c>
      <c r="CC121" s="28">
        <v>226</v>
      </c>
    </row>
    <row r="122" spans="1:81" x14ac:dyDescent="0.25">
      <c r="A122" s="13" t="s">
        <v>299</v>
      </c>
      <c r="B122" s="14">
        <v>1</v>
      </c>
      <c r="C122" s="13" t="s">
        <v>300</v>
      </c>
      <c r="D122" s="15">
        <v>13706</v>
      </c>
      <c r="E122" s="16">
        <v>59.9779032</v>
      </c>
      <c r="F122" s="17">
        <v>0</v>
      </c>
      <c r="G122" s="13" t="s">
        <v>252</v>
      </c>
      <c r="H122" s="18">
        <v>228.51749175519689</v>
      </c>
      <c r="I122" s="16">
        <v>230.7071173145691</v>
      </c>
      <c r="J122" s="16">
        <v>177.1595303855168</v>
      </c>
      <c r="K122" s="16">
        <v>159.2565775554441</v>
      </c>
      <c r="L122" s="16">
        <v>160.47346620867211</v>
      </c>
      <c r="M122" s="16">
        <v>94.330426908068702</v>
      </c>
      <c r="N122" s="16">
        <v>37.599073558827513</v>
      </c>
      <c r="O122" s="16">
        <v>456.66270892318931</v>
      </c>
      <c r="P122" s="19">
        <v>4.3760326280461106</v>
      </c>
      <c r="Q122" s="19">
        <v>0.51327029022896031</v>
      </c>
      <c r="R122" s="16">
        <v>11.7291239315584</v>
      </c>
      <c r="S122" s="16">
        <v>7.2966070777088646E-3</v>
      </c>
      <c r="T122" s="16">
        <v>1.4592149423610101E-2</v>
      </c>
      <c r="U122" s="14"/>
      <c r="V122" s="20">
        <v>230</v>
      </c>
      <c r="W122" s="20">
        <v>229</v>
      </c>
      <c r="X122" s="20">
        <v>230</v>
      </c>
      <c r="Y122" s="20">
        <v>230</v>
      </c>
      <c r="Z122" s="20">
        <v>226</v>
      </c>
      <c r="AA122" s="20">
        <v>228</v>
      </c>
      <c r="AB122" s="20">
        <v>228</v>
      </c>
      <c r="AC122" s="20">
        <v>229</v>
      </c>
      <c r="AD122" s="20">
        <v>228</v>
      </c>
      <c r="AE122" s="20">
        <v>227</v>
      </c>
      <c r="AF122" s="20">
        <v>226</v>
      </c>
      <c r="AG122" s="20">
        <v>230</v>
      </c>
      <c r="AH122" s="20">
        <v>229</v>
      </c>
      <c r="AI122" s="20">
        <v>228</v>
      </c>
      <c r="AJ122" s="20">
        <v>228</v>
      </c>
      <c r="AK122" s="20">
        <v>233</v>
      </c>
      <c r="AL122" s="20">
        <v>231</v>
      </c>
      <c r="AM122" s="20">
        <v>229</v>
      </c>
      <c r="AN122" s="20">
        <v>224</v>
      </c>
      <c r="AO122" s="20">
        <v>228</v>
      </c>
      <c r="AP122" s="20">
        <v>222</v>
      </c>
      <c r="AQ122" s="20">
        <v>228</v>
      </c>
      <c r="AR122" s="20">
        <v>229</v>
      </c>
      <c r="AS122" s="20">
        <v>230</v>
      </c>
      <c r="AT122" s="20">
        <v>228</v>
      </c>
      <c r="AU122" s="20">
        <v>227</v>
      </c>
      <c r="AV122" s="20">
        <v>231</v>
      </c>
      <c r="AW122" s="20">
        <v>231</v>
      </c>
      <c r="AX122" s="20">
        <v>224</v>
      </c>
      <c r="AY122" s="20">
        <v>229</v>
      </c>
      <c r="AZ122" s="20">
        <v>228</v>
      </c>
      <c r="BA122" s="20">
        <v>230</v>
      </c>
      <c r="BB122" s="20">
        <v>224</v>
      </c>
      <c r="BC122" s="20">
        <v>227</v>
      </c>
      <c r="BD122" s="20">
        <v>227</v>
      </c>
      <c r="BE122" s="20">
        <v>223</v>
      </c>
      <c r="BF122" s="20">
        <v>226</v>
      </c>
      <c r="BG122" s="20">
        <v>229</v>
      </c>
      <c r="BH122" s="20">
        <v>225</v>
      </c>
      <c r="BI122" s="20">
        <v>231</v>
      </c>
      <c r="BJ122" s="20">
        <v>229</v>
      </c>
      <c r="BK122" s="20">
        <v>229</v>
      </c>
      <c r="BL122" s="20">
        <v>228</v>
      </c>
      <c r="BM122" s="20">
        <v>230</v>
      </c>
      <c r="BN122" s="20">
        <v>229</v>
      </c>
      <c r="BO122" s="20">
        <v>230</v>
      </c>
      <c r="BP122" s="20">
        <v>232</v>
      </c>
      <c r="BQ122" s="20">
        <v>232</v>
      </c>
      <c r="BR122" s="20">
        <v>227</v>
      </c>
      <c r="BS122" s="20">
        <v>232</v>
      </c>
      <c r="BT122" s="20">
        <v>229</v>
      </c>
      <c r="BU122" s="20">
        <v>230</v>
      </c>
      <c r="BV122" s="20">
        <v>228</v>
      </c>
      <c r="BW122" s="20">
        <v>229</v>
      </c>
      <c r="BX122" s="20">
        <v>232</v>
      </c>
      <c r="BY122" s="20">
        <v>230</v>
      </c>
      <c r="BZ122" s="20">
        <v>229</v>
      </c>
      <c r="CA122" s="20">
        <v>231</v>
      </c>
      <c r="CB122" s="20">
        <v>227</v>
      </c>
      <c r="CC122" s="20">
        <v>223</v>
      </c>
    </row>
    <row r="123" spans="1:81" x14ac:dyDescent="0.25">
      <c r="A123" s="13" t="s">
        <v>299</v>
      </c>
      <c r="B123" s="14">
        <v>2</v>
      </c>
      <c r="C123" s="13" t="s">
        <v>300</v>
      </c>
      <c r="D123" s="15">
        <v>13687</v>
      </c>
      <c r="E123" s="16">
        <v>60.000253999999998</v>
      </c>
      <c r="F123" s="17">
        <v>0</v>
      </c>
      <c r="G123" s="13" t="s">
        <v>252</v>
      </c>
      <c r="H123" s="18">
        <v>228.1157009768659</v>
      </c>
      <c r="I123" s="16">
        <v>229.91677012921321</v>
      </c>
      <c r="J123" s="16">
        <v>179.8522334050345</v>
      </c>
      <c r="K123" s="16">
        <v>159.44090579526431</v>
      </c>
      <c r="L123" s="16">
        <v>161.88069689970379</v>
      </c>
      <c r="M123" s="16">
        <v>94.50143405926184</v>
      </c>
      <c r="N123" s="16">
        <v>36.742147284571608</v>
      </c>
      <c r="O123" s="16">
        <v>394.92911022471469</v>
      </c>
      <c r="P123" s="19">
        <v>4.3837403375465769</v>
      </c>
      <c r="Q123" s="19">
        <v>0.50173261496046817</v>
      </c>
      <c r="R123" s="16">
        <v>11.445308716466309</v>
      </c>
      <c r="S123" s="16">
        <v>7.3067368113400553E-3</v>
      </c>
      <c r="T123" s="16">
        <v>7.3062029663184041E-3</v>
      </c>
      <c r="U123" s="14"/>
      <c r="V123" s="20">
        <v>230</v>
      </c>
      <c r="W123" s="20">
        <v>226</v>
      </c>
      <c r="X123" s="20">
        <v>226</v>
      </c>
      <c r="Y123" s="20">
        <v>225</v>
      </c>
      <c r="Z123" s="20">
        <v>229</v>
      </c>
      <c r="AA123" s="20">
        <v>228</v>
      </c>
      <c r="AB123" s="20">
        <v>230</v>
      </c>
      <c r="AC123" s="20">
        <v>223</v>
      </c>
      <c r="AD123" s="20">
        <v>230</v>
      </c>
      <c r="AE123" s="20">
        <v>230</v>
      </c>
      <c r="AF123" s="20">
        <v>228</v>
      </c>
      <c r="AG123" s="20">
        <v>228</v>
      </c>
      <c r="AH123" s="20">
        <v>230</v>
      </c>
      <c r="AI123" s="20">
        <v>227</v>
      </c>
      <c r="AJ123" s="20">
        <v>230</v>
      </c>
      <c r="AK123" s="20">
        <v>229</v>
      </c>
      <c r="AL123" s="20">
        <v>229</v>
      </c>
      <c r="AM123" s="20">
        <v>228</v>
      </c>
      <c r="AN123" s="20">
        <v>231</v>
      </c>
      <c r="AO123" s="20">
        <v>228</v>
      </c>
      <c r="AP123" s="20">
        <v>226</v>
      </c>
      <c r="AQ123" s="20">
        <v>226</v>
      </c>
      <c r="AR123" s="20">
        <v>228</v>
      </c>
      <c r="AS123" s="20">
        <v>225</v>
      </c>
      <c r="AT123" s="20">
        <v>229</v>
      </c>
      <c r="AU123" s="20">
        <v>226</v>
      </c>
      <c r="AV123" s="20">
        <v>229</v>
      </c>
      <c r="AW123" s="20">
        <v>228</v>
      </c>
      <c r="AX123" s="20">
        <v>230</v>
      </c>
      <c r="AY123" s="20">
        <v>229</v>
      </c>
      <c r="AZ123" s="20">
        <v>230</v>
      </c>
      <c r="BA123" s="20">
        <v>230</v>
      </c>
      <c r="BB123" s="20">
        <v>229</v>
      </c>
      <c r="BC123" s="20">
        <v>226</v>
      </c>
      <c r="BD123" s="20">
        <v>228</v>
      </c>
      <c r="BE123" s="20">
        <v>228</v>
      </c>
      <c r="BF123" s="20">
        <v>226</v>
      </c>
      <c r="BG123" s="20">
        <v>229</v>
      </c>
      <c r="BH123" s="20">
        <v>228</v>
      </c>
      <c r="BI123" s="20">
        <v>230</v>
      </c>
      <c r="BJ123" s="20">
        <v>230</v>
      </c>
      <c r="BK123" s="20">
        <v>230</v>
      </c>
      <c r="BL123" s="20">
        <v>228</v>
      </c>
      <c r="BM123" s="20">
        <v>226</v>
      </c>
      <c r="BN123" s="20">
        <v>227</v>
      </c>
      <c r="BO123" s="20">
        <v>229</v>
      </c>
      <c r="BP123" s="20">
        <v>229</v>
      </c>
      <c r="BQ123" s="20">
        <v>231</v>
      </c>
      <c r="BR123" s="20">
        <v>227</v>
      </c>
      <c r="BS123" s="20">
        <v>228</v>
      </c>
      <c r="BT123" s="20">
        <v>227</v>
      </c>
      <c r="BU123" s="20">
        <v>229</v>
      </c>
      <c r="BV123" s="20">
        <v>227</v>
      </c>
      <c r="BW123" s="20">
        <v>227</v>
      </c>
      <c r="BX123" s="20">
        <v>228</v>
      </c>
      <c r="BY123" s="20">
        <v>228</v>
      </c>
      <c r="BZ123" s="20">
        <v>228</v>
      </c>
      <c r="CA123" s="20">
        <v>227</v>
      </c>
      <c r="CB123" s="20">
        <v>227</v>
      </c>
      <c r="CC123" s="20">
        <v>229</v>
      </c>
    </row>
    <row r="124" spans="1:81" x14ac:dyDescent="0.25">
      <c r="A124" s="13" t="s">
        <v>299</v>
      </c>
      <c r="B124" s="14">
        <v>3</v>
      </c>
      <c r="C124" s="13" t="s">
        <v>300</v>
      </c>
      <c r="D124" s="15">
        <v>13658</v>
      </c>
      <c r="E124" s="16">
        <v>59.9950647</v>
      </c>
      <c r="F124" s="17">
        <v>0</v>
      </c>
      <c r="G124" s="13" t="s">
        <v>252</v>
      </c>
      <c r="H124" s="18">
        <v>227.65205885343431</v>
      </c>
      <c r="I124" s="16">
        <v>230.23967950636609</v>
      </c>
      <c r="J124" s="16">
        <v>178.20680471991409</v>
      </c>
      <c r="K124" s="16">
        <v>158.2885913481945</v>
      </c>
      <c r="L124" s="16">
        <v>161.52686516486651</v>
      </c>
      <c r="M124" s="16">
        <v>98.751615000370322</v>
      </c>
      <c r="N124" s="16">
        <v>43.070217375387102</v>
      </c>
      <c r="O124" s="16">
        <v>341.77518028640759</v>
      </c>
      <c r="P124" s="19">
        <v>4.3926683775076878</v>
      </c>
      <c r="Q124" s="19">
        <v>0.49999177061487549</v>
      </c>
      <c r="R124" s="16">
        <v>11.38241559902505</v>
      </c>
      <c r="S124" s="16">
        <v>1.4644504649630231E-2</v>
      </c>
      <c r="T124" s="16">
        <v>1.464343242055938E-2</v>
      </c>
      <c r="U124" s="14"/>
      <c r="V124" s="20">
        <v>228</v>
      </c>
      <c r="W124" s="20">
        <v>229</v>
      </c>
      <c r="X124" s="20">
        <v>227</v>
      </c>
      <c r="Y124" s="20">
        <v>227</v>
      </c>
      <c r="Z124" s="20">
        <v>226</v>
      </c>
      <c r="AA124" s="20">
        <v>224</v>
      </c>
      <c r="AB124" s="20">
        <v>221</v>
      </c>
      <c r="AC124" s="20">
        <v>226</v>
      </c>
      <c r="AD124" s="20">
        <v>229</v>
      </c>
      <c r="AE124" s="20">
        <v>227</v>
      </c>
      <c r="AF124" s="20">
        <v>231</v>
      </c>
      <c r="AG124" s="20">
        <v>228</v>
      </c>
      <c r="AH124" s="20">
        <v>228</v>
      </c>
      <c r="AI124" s="20">
        <v>228</v>
      </c>
      <c r="AJ124" s="20">
        <v>229</v>
      </c>
      <c r="AK124" s="20">
        <v>227</v>
      </c>
      <c r="AL124" s="20">
        <v>230</v>
      </c>
      <c r="AM124" s="20">
        <v>227</v>
      </c>
      <c r="AN124" s="20">
        <v>229</v>
      </c>
      <c r="AO124" s="20">
        <v>226</v>
      </c>
      <c r="AP124" s="20">
        <v>229</v>
      </c>
      <c r="AQ124" s="20">
        <v>227</v>
      </c>
      <c r="AR124" s="20">
        <v>226</v>
      </c>
      <c r="AS124" s="20">
        <v>228</v>
      </c>
      <c r="AT124" s="20">
        <v>230</v>
      </c>
      <c r="AU124" s="20">
        <v>230</v>
      </c>
      <c r="AV124" s="20">
        <v>229</v>
      </c>
      <c r="AW124" s="20">
        <v>229</v>
      </c>
      <c r="AX124" s="20">
        <v>229</v>
      </c>
      <c r="AY124" s="20">
        <v>228</v>
      </c>
      <c r="AZ124" s="20">
        <v>229</v>
      </c>
      <c r="BA124" s="20">
        <v>225</v>
      </c>
      <c r="BB124" s="20">
        <v>231</v>
      </c>
      <c r="BC124" s="20">
        <v>230</v>
      </c>
      <c r="BD124" s="20">
        <v>228</v>
      </c>
      <c r="BE124" s="20">
        <v>229</v>
      </c>
      <c r="BF124" s="20">
        <v>227</v>
      </c>
      <c r="BG124" s="20">
        <v>229</v>
      </c>
      <c r="BH124" s="20">
        <v>229</v>
      </c>
      <c r="BI124" s="20">
        <v>225</v>
      </c>
      <c r="BJ124" s="20">
        <v>230</v>
      </c>
      <c r="BK124" s="20">
        <v>227</v>
      </c>
      <c r="BL124" s="20">
        <v>228</v>
      </c>
      <c r="BM124" s="20">
        <v>228</v>
      </c>
      <c r="BN124" s="20">
        <v>228</v>
      </c>
      <c r="BO124" s="20">
        <v>226</v>
      </c>
      <c r="BP124" s="20">
        <v>228</v>
      </c>
      <c r="BQ124" s="20">
        <v>228</v>
      </c>
      <c r="BR124" s="20">
        <v>229</v>
      </c>
      <c r="BS124" s="20">
        <v>224</v>
      </c>
      <c r="BT124" s="20">
        <v>225</v>
      </c>
      <c r="BU124" s="20">
        <v>226</v>
      </c>
      <c r="BV124" s="20">
        <v>229</v>
      </c>
      <c r="BW124" s="20">
        <v>225</v>
      </c>
      <c r="BX124" s="20">
        <v>220</v>
      </c>
      <c r="BY124" s="20">
        <v>229</v>
      </c>
      <c r="BZ124" s="20">
        <v>230</v>
      </c>
      <c r="CA124" s="20">
        <v>229</v>
      </c>
      <c r="CB124" s="20">
        <v>229</v>
      </c>
      <c r="CC124" s="20">
        <v>226</v>
      </c>
    </row>
    <row r="125" spans="1:81" x14ac:dyDescent="0.25">
      <c r="A125" s="13" t="s">
        <v>299</v>
      </c>
      <c r="B125" s="14">
        <v>4</v>
      </c>
      <c r="C125" s="13" t="s">
        <v>300</v>
      </c>
      <c r="D125" s="15">
        <v>13644</v>
      </c>
      <c r="E125" s="16">
        <v>59.991280500000002</v>
      </c>
      <c r="F125" s="17">
        <v>0</v>
      </c>
      <c r="G125" s="13" t="s">
        <v>252</v>
      </c>
      <c r="H125" s="18">
        <v>227.4330517082395</v>
      </c>
      <c r="I125" s="16">
        <v>229.7319028693515</v>
      </c>
      <c r="J125" s="16">
        <v>177.45117297887111</v>
      </c>
      <c r="K125" s="16">
        <v>159.20735878064329</v>
      </c>
      <c r="L125" s="16">
        <v>159.17782002990879</v>
      </c>
      <c r="M125" s="16">
        <v>95.574121713644018</v>
      </c>
      <c r="N125" s="16">
        <v>41.855714979323267</v>
      </c>
      <c r="O125" s="16">
        <v>330.52388035035528</v>
      </c>
      <c r="P125" s="19">
        <v>4.3968983069481089</v>
      </c>
      <c r="Q125" s="19">
        <v>0.50191625791316286</v>
      </c>
      <c r="R125" s="16">
        <v>11.415234623917041</v>
      </c>
      <c r="S125" s="16">
        <v>1.4659532360917689E-2</v>
      </c>
      <c r="T125" s="16">
        <v>1.465845793022574E-2</v>
      </c>
      <c r="U125" s="14"/>
      <c r="V125" s="20">
        <v>229</v>
      </c>
      <c r="W125" s="20">
        <v>229</v>
      </c>
      <c r="X125" s="20">
        <v>227</v>
      </c>
      <c r="Y125" s="20">
        <v>232</v>
      </c>
      <c r="Z125" s="20">
        <v>224</v>
      </c>
      <c r="AA125" s="20">
        <v>228</v>
      </c>
      <c r="AB125" s="20">
        <v>227</v>
      </c>
      <c r="AC125" s="20">
        <v>230</v>
      </c>
      <c r="AD125" s="20">
        <v>227</v>
      </c>
      <c r="AE125" s="20">
        <v>229</v>
      </c>
      <c r="AF125" s="20">
        <v>225</v>
      </c>
      <c r="AG125" s="20">
        <v>227</v>
      </c>
      <c r="AH125" s="20">
        <v>229</v>
      </c>
      <c r="AI125" s="20">
        <v>229</v>
      </c>
      <c r="AJ125" s="20">
        <v>225</v>
      </c>
      <c r="AK125" s="20">
        <v>228</v>
      </c>
      <c r="AL125" s="20">
        <v>232</v>
      </c>
      <c r="AM125" s="20">
        <v>230</v>
      </c>
      <c r="AN125" s="20">
        <v>226</v>
      </c>
      <c r="AO125" s="20">
        <v>229</v>
      </c>
      <c r="AP125" s="20">
        <v>228</v>
      </c>
      <c r="AQ125" s="20">
        <v>226</v>
      </c>
      <c r="AR125" s="20">
        <v>226</v>
      </c>
      <c r="AS125" s="20">
        <v>224</v>
      </c>
      <c r="AT125" s="20">
        <v>223</v>
      </c>
      <c r="AU125" s="20">
        <v>229</v>
      </c>
      <c r="AV125" s="20">
        <v>228</v>
      </c>
      <c r="AW125" s="20">
        <v>229</v>
      </c>
      <c r="AX125" s="20">
        <v>226</v>
      </c>
      <c r="AY125" s="20">
        <v>228</v>
      </c>
      <c r="AZ125" s="20">
        <v>229</v>
      </c>
      <c r="BA125" s="20">
        <v>228</v>
      </c>
      <c r="BB125" s="20">
        <v>227</v>
      </c>
      <c r="BC125" s="20">
        <v>229</v>
      </c>
      <c r="BD125" s="20">
        <v>225</v>
      </c>
      <c r="BE125" s="20">
        <v>226</v>
      </c>
      <c r="BF125" s="20">
        <v>227</v>
      </c>
      <c r="BG125" s="20">
        <v>227</v>
      </c>
      <c r="BH125" s="20">
        <v>229</v>
      </c>
      <c r="BI125" s="20">
        <v>225</v>
      </c>
      <c r="BJ125" s="20">
        <v>229</v>
      </c>
      <c r="BK125" s="20">
        <v>223</v>
      </c>
      <c r="BL125" s="20">
        <v>230</v>
      </c>
      <c r="BM125" s="20">
        <v>229</v>
      </c>
      <c r="BN125" s="20">
        <v>225</v>
      </c>
      <c r="BO125" s="20">
        <v>230</v>
      </c>
      <c r="BP125" s="20">
        <v>229</v>
      </c>
      <c r="BQ125" s="20">
        <v>228</v>
      </c>
      <c r="BR125" s="20">
        <v>228</v>
      </c>
      <c r="BS125" s="20">
        <v>227</v>
      </c>
      <c r="BT125" s="20">
        <v>227</v>
      </c>
      <c r="BU125" s="20">
        <v>223</v>
      </c>
      <c r="BV125" s="20">
        <v>226</v>
      </c>
      <c r="BW125" s="20">
        <v>229</v>
      </c>
      <c r="BX125" s="20">
        <v>223</v>
      </c>
      <c r="BY125" s="20">
        <v>228</v>
      </c>
      <c r="BZ125" s="20">
        <v>229</v>
      </c>
      <c r="CA125" s="20">
        <v>226</v>
      </c>
      <c r="CB125" s="20">
        <v>227</v>
      </c>
      <c r="CC125" s="20">
        <v>227</v>
      </c>
    </row>
    <row r="126" spans="1:81" x14ac:dyDescent="0.25">
      <c r="A126" s="13" t="s">
        <v>299</v>
      </c>
      <c r="B126" s="14">
        <v>5</v>
      </c>
      <c r="C126" s="13" t="s">
        <v>300</v>
      </c>
      <c r="D126" s="15">
        <v>13655</v>
      </c>
      <c r="E126" s="16">
        <v>59.991143999999998</v>
      </c>
      <c r="F126" s="17">
        <v>0</v>
      </c>
      <c r="G126" s="13" t="s">
        <v>252</v>
      </c>
      <c r="H126" s="18">
        <v>227.6169295921411</v>
      </c>
      <c r="I126" s="16">
        <v>229.9643555248937</v>
      </c>
      <c r="J126" s="16">
        <v>178.07174653125139</v>
      </c>
      <c r="K126" s="16">
        <v>158.43928432341099</v>
      </c>
      <c r="L126" s="16">
        <v>159.97573701321971</v>
      </c>
      <c r="M126" s="16">
        <v>91.813874912776825</v>
      </c>
      <c r="N126" s="16">
        <v>39.954930838014732</v>
      </c>
      <c r="O126" s="16">
        <v>439.81176056647757</v>
      </c>
      <c r="P126" s="19">
        <v>4.393346320029293</v>
      </c>
      <c r="Q126" s="19">
        <v>0.50659315946697603</v>
      </c>
      <c r="R126" s="16">
        <v>11.530917951025501</v>
      </c>
      <c r="S126" s="16">
        <v>7.3238611395927931E-3</v>
      </c>
      <c r="T126" s="16">
        <v>2.1969974368363239E-2</v>
      </c>
      <c r="U126" s="14"/>
      <c r="V126" s="20">
        <v>226</v>
      </c>
      <c r="W126" s="20">
        <v>225</v>
      </c>
      <c r="X126" s="20">
        <v>226</v>
      </c>
      <c r="Y126" s="20">
        <v>231</v>
      </c>
      <c r="Z126" s="20">
        <v>229</v>
      </c>
      <c r="AA126" s="20">
        <v>229</v>
      </c>
      <c r="AB126" s="20">
        <v>232</v>
      </c>
      <c r="AC126" s="20">
        <v>227</v>
      </c>
      <c r="AD126" s="20">
        <v>228</v>
      </c>
      <c r="AE126" s="20">
        <v>227</v>
      </c>
      <c r="AF126" s="20">
        <v>224</v>
      </c>
      <c r="AG126" s="20">
        <v>228</v>
      </c>
      <c r="AH126" s="20">
        <v>225</v>
      </c>
      <c r="AI126" s="20">
        <v>230</v>
      </c>
      <c r="AJ126" s="20">
        <v>227</v>
      </c>
      <c r="AK126" s="20">
        <v>231</v>
      </c>
      <c r="AL126" s="20">
        <v>230</v>
      </c>
      <c r="AM126" s="20">
        <v>231</v>
      </c>
      <c r="AN126" s="20">
        <v>228</v>
      </c>
      <c r="AO126" s="20">
        <v>226</v>
      </c>
      <c r="AP126" s="20">
        <v>225</v>
      </c>
      <c r="AQ126" s="20">
        <v>230</v>
      </c>
      <c r="AR126" s="20">
        <v>227</v>
      </c>
      <c r="AS126" s="20">
        <v>227</v>
      </c>
      <c r="AT126" s="20">
        <v>229</v>
      </c>
      <c r="AU126" s="20">
        <v>228</v>
      </c>
      <c r="AV126" s="20">
        <v>228</v>
      </c>
      <c r="AW126" s="20">
        <v>224</v>
      </c>
      <c r="AX126" s="20">
        <v>229</v>
      </c>
      <c r="AY126" s="20">
        <v>227</v>
      </c>
      <c r="AZ126" s="20">
        <v>224</v>
      </c>
      <c r="BA126" s="20">
        <v>227</v>
      </c>
      <c r="BB126" s="20">
        <v>230</v>
      </c>
      <c r="BC126" s="20">
        <v>224</v>
      </c>
      <c r="BD126" s="20">
        <v>227</v>
      </c>
      <c r="BE126" s="20">
        <v>226</v>
      </c>
      <c r="BF126" s="20">
        <v>225</v>
      </c>
      <c r="BG126" s="20">
        <v>226</v>
      </c>
      <c r="BH126" s="20">
        <v>227</v>
      </c>
      <c r="BI126" s="20">
        <v>224</v>
      </c>
      <c r="BJ126" s="20">
        <v>228</v>
      </c>
      <c r="BK126" s="20">
        <v>225</v>
      </c>
      <c r="BL126" s="20">
        <v>225</v>
      </c>
      <c r="BM126" s="20">
        <v>229</v>
      </c>
      <c r="BN126" s="20">
        <v>228</v>
      </c>
      <c r="BO126" s="20">
        <v>231</v>
      </c>
      <c r="BP126" s="20">
        <v>228</v>
      </c>
      <c r="BQ126" s="20">
        <v>230</v>
      </c>
      <c r="BR126" s="20">
        <v>228</v>
      </c>
      <c r="BS126" s="20">
        <v>228</v>
      </c>
      <c r="BT126" s="20">
        <v>223</v>
      </c>
      <c r="BU126" s="20">
        <v>228</v>
      </c>
      <c r="BV126" s="20">
        <v>228</v>
      </c>
      <c r="BW126" s="20">
        <v>229</v>
      </c>
      <c r="BX126" s="20">
        <v>230</v>
      </c>
      <c r="BY126" s="20">
        <v>230</v>
      </c>
      <c r="BZ126" s="20">
        <v>229</v>
      </c>
      <c r="CA126" s="20">
        <v>227</v>
      </c>
      <c r="CB126" s="20">
        <v>228</v>
      </c>
      <c r="CC126" s="20">
        <v>229</v>
      </c>
    </row>
    <row r="127" spans="1:81" x14ac:dyDescent="0.25">
      <c r="A127" s="21" t="s">
        <v>301</v>
      </c>
      <c r="B127" s="22">
        <v>1</v>
      </c>
      <c r="C127" s="21" t="s">
        <v>302</v>
      </c>
      <c r="D127" s="23">
        <v>14019</v>
      </c>
      <c r="E127" s="24">
        <v>59.997467200000003</v>
      </c>
      <c r="F127" s="25">
        <v>0</v>
      </c>
      <c r="G127" s="21" t="s">
        <v>252</v>
      </c>
      <c r="H127" s="26">
        <v>233.6598635617072</v>
      </c>
      <c r="I127" s="24">
        <v>237.02860935314891</v>
      </c>
      <c r="J127" s="24">
        <v>186.66418776625309</v>
      </c>
      <c r="K127" s="24">
        <v>165.37804644139561</v>
      </c>
      <c r="L127" s="24">
        <v>166.85546665591741</v>
      </c>
      <c r="M127" s="24">
        <v>96.061479346781951</v>
      </c>
      <c r="N127" s="24">
        <v>42.911272362136813</v>
      </c>
      <c r="O127" s="24">
        <v>356.87520074230042</v>
      </c>
      <c r="P127" s="27">
        <v>4.2797251729795276</v>
      </c>
      <c r="Q127" s="27">
        <v>0.42542732416610141</v>
      </c>
      <c r="R127" s="24">
        <v>9.9405290520073404</v>
      </c>
      <c r="S127" s="24">
        <v>1.42673705236125E-2</v>
      </c>
      <c r="T127" s="24">
        <v>1.426635280690491E-2</v>
      </c>
      <c r="U127" s="22"/>
      <c r="V127" s="28">
        <v>235</v>
      </c>
      <c r="W127" s="28">
        <v>232</v>
      </c>
      <c r="X127" s="28">
        <v>232</v>
      </c>
      <c r="Y127" s="28">
        <v>235</v>
      </c>
      <c r="Z127" s="28">
        <v>233</v>
      </c>
      <c r="AA127" s="28">
        <v>231</v>
      </c>
      <c r="AB127" s="28">
        <v>232</v>
      </c>
      <c r="AC127" s="28">
        <v>233</v>
      </c>
      <c r="AD127" s="28">
        <v>233</v>
      </c>
      <c r="AE127" s="28">
        <v>234</v>
      </c>
      <c r="AF127" s="28">
        <v>235</v>
      </c>
      <c r="AG127" s="28">
        <v>233</v>
      </c>
      <c r="AH127" s="28">
        <v>236</v>
      </c>
      <c r="AI127" s="28">
        <v>236</v>
      </c>
      <c r="AJ127" s="28">
        <v>235</v>
      </c>
      <c r="AK127" s="28">
        <v>231</v>
      </c>
      <c r="AL127" s="28">
        <v>236</v>
      </c>
      <c r="AM127" s="28">
        <v>235</v>
      </c>
      <c r="AN127" s="28">
        <v>236</v>
      </c>
      <c r="AO127" s="28">
        <v>235</v>
      </c>
      <c r="AP127" s="28">
        <v>236</v>
      </c>
      <c r="AQ127" s="28">
        <v>233</v>
      </c>
      <c r="AR127" s="28">
        <v>234</v>
      </c>
      <c r="AS127" s="28">
        <v>236</v>
      </c>
      <c r="AT127" s="28">
        <v>235</v>
      </c>
      <c r="AU127" s="28">
        <v>231</v>
      </c>
      <c r="AV127" s="28">
        <v>232</v>
      </c>
      <c r="AW127" s="28">
        <v>233</v>
      </c>
      <c r="AX127" s="28">
        <v>237</v>
      </c>
      <c r="AY127" s="28">
        <v>235</v>
      </c>
      <c r="AZ127" s="28">
        <v>235</v>
      </c>
      <c r="BA127" s="28">
        <v>236</v>
      </c>
      <c r="BB127" s="28">
        <v>232</v>
      </c>
      <c r="BC127" s="28">
        <v>232</v>
      </c>
      <c r="BD127" s="28">
        <v>234</v>
      </c>
      <c r="BE127" s="28">
        <v>232</v>
      </c>
      <c r="BF127" s="28">
        <v>234</v>
      </c>
      <c r="BG127" s="28">
        <v>232</v>
      </c>
      <c r="BH127" s="28">
        <v>234</v>
      </c>
      <c r="BI127" s="28">
        <v>232</v>
      </c>
      <c r="BJ127" s="28">
        <v>228</v>
      </c>
      <c r="BK127" s="28">
        <v>223</v>
      </c>
      <c r="BL127" s="28">
        <v>234</v>
      </c>
      <c r="BM127" s="28">
        <v>232</v>
      </c>
      <c r="BN127" s="28">
        <v>230</v>
      </c>
      <c r="BO127" s="28">
        <v>233</v>
      </c>
      <c r="BP127" s="28">
        <v>235</v>
      </c>
      <c r="BQ127" s="28">
        <v>235</v>
      </c>
      <c r="BR127" s="28">
        <v>234</v>
      </c>
      <c r="BS127" s="28">
        <v>235</v>
      </c>
      <c r="BT127" s="28">
        <v>236</v>
      </c>
      <c r="BU127" s="28">
        <v>235</v>
      </c>
      <c r="BV127" s="28">
        <v>234</v>
      </c>
      <c r="BW127" s="28">
        <v>235</v>
      </c>
      <c r="BX127" s="28">
        <v>238</v>
      </c>
      <c r="BY127" s="28">
        <v>227</v>
      </c>
      <c r="BZ127" s="28">
        <v>234</v>
      </c>
      <c r="CA127" s="28">
        <v>235</v>
      </c>
      <c r="CB127" s="28">
        <v>238</v>
      </c>
      <c r="CC127" s="28">
        <v>235</v>
      </c>
    </row>
    <row r="128" spans="1:81" x14ac:dyDescent="0.25">
      <c r="A128" s="21" t="s">
        <v>301</v>
      </c>
      <c r="B128" s="22">
        <v>2</v>
      </c>
      <c r="C128" s="21" t="s">
        <v>302</v>
      </c>
      <c r="D128" s="23">
        <v>14014</v>
      </c>
      <c r="E128" s="24">
        <v>59.980321500000002</v>
      </c>
      <c r="F128" s="25">
        <v>0</v>
      </c>
      <c r="G128" s="21" t="s">
        <v>252</v>
      </c>
      <c r="H128" s="26">
        <v>233.6432958266154</v>
      </c>
      <c r="I128" s="24">
        <v>237.01456454499129</v>
      </c>
      <c r="J128" s="24">
        <v>186.0100709572618</v>
      </c>
      <c r="K128" s="24">
        <v>163.2316817285151</v>
      </c>
      <c r="L128" s="24">
        <v>166.21392763012349</v>
      </c>
      <c r="M128" s="24">
        <v>91.422163170276832</v>
      </c>
      <c r="N128" s="24">
        <v>42.450767722134259</v>
      </c>
      <c r="O128" s="24">
        <v>396.44782746590539</v>
      </c>
      <c r="P128" s="27">
        <v>4.2800286499215066</v>
      </c>
      <c r="Q128" s="27">
        <v>0.42718970837128911</v>
      </c>
      <c r="R128" s="24">
        <v>9.9810011407078658</v>
      </c>
      <c r="S128" s="24">
        <v>2.140869192892314E-2</v>
      </c>
      <c r="T128" s="24">
        <v>2.1407164264307121E-2</v>
      </c>
      <c r="U128" s="22"/>
      <c r="V128" s="28">
        <v>230</v>
      </c>
      <c r="W128" s="28">
        <v>232</v>
      </c>
      <c r="X128" s="28">
        <v>236</v>
      </c>
      <c r="Y128" s="28">
        <v>235</v>
      </c>
      <c r="Z128" s="28">
        <v>232</v>
      </c>
      <c r="AA128" s="28">
        <v>235</v>
      </c>
      <c r="AB128" s="28">
        <v>227</v>
      </c>
      <c r="AC128" s="28">
        <v>232</v>
      </c>
      <c r="AD128" s="28">
        <v>232</v>
      </c>
      <c r="AE128" s="28">
        <v>234</v>
      </c>
      <c r="AF128" s="28">
        <v>231</v>
      </c>
      <c r="AG128" s="28">
        <v>233</v>
      </c>
      <c r="AH128" s="28">
        <v>233</v>
      </c>
      <c r="AI128" s="28">
        <v>233</v>
      </c>
      <c r="AJ128" s="28">
        <v>235</v>
      </c>
      <c r="AK128" s="28">
        <v>235</v>
      </c>
      <c r="AL128" s="28">
        <v>236</v>
      </c>
      <c r="AM128" s="28">
        <v>233</v>
      </c>
      <c r="AN128" s="28">
        <v>232</v>
      </c>
      <c r="AO128" s="28">
        <v>237</v>
      </c>
      <c r="AP128" s="28">
        <v>230</v>
      </c>
      <c r="AQ128" s="28">
        <v>232</v>
      </c>
      <c r="AR128" s="28">
        <v>233</v>
      </c>
      <c r="AS128" s="28">
        <v>234</v>
      </c>
      <c r="AT128" s="28">
        <v>233</v>
      </c>
      <c r="AU128" s="28">
        <v>231</v>
      </c>
      <c r="AV128" s="28">
        <v>231</v>
      </c>
      <c r="AW128" s="28">
        <v>225</v>
      </c>
      <c r="AX128" s="28">
        <v>233</v>
      </c>
      <c r="AY128" s="28">
        <v>234</v>
      </c>
      <c r="AZ128" s="28">
        <v>232</v>
      </c>
      <c r="BA128" s="28">
        <v>235</v>
      </c>
      <c r="BB128" s="28">
        <v>236</v>
      </c>
      <c r="BC128" s="28">
        <v>234</v>
      </c>
      <c r="BD128" s="28">
        <v>236</v>
      </c>
      <c r="BE128" s="28">
        <v>236</v>
      </c>
      <c r="BF128" s="28">
        <v>233</v>
      </c>
      <c r="BG128" s="28">
        <v>235</v>
      </c>
      <c r="BH128" s="28">
        <v>235</v>
      </c>
      <c r="BI128" s="28">
        <v>235</v>
      </c>
      <c r="BJ128" s="28">
        <v>229</v>
      </c>
      <c r="BK128" s="28">
        <v>230</v>
      </c>
      <c r="BL128" s="28">
        <v>236</v>
      </c>
      <c r="BM128" s="28">
        <v>237</v>
      </c>
      <c r="BN128" s="28">
        <v>233</v>
      </c>
      <c r="BO128" s="28">
        <v>236</v>
      </c>
      <c r="BP128" s="28">
        <v>234</v>
      </c>
      <c r="BQ128" s="28">
        <v>235</v>
      </c>
      <c r="BR128" s="28">
        <v>235</v>
      </c>
      <c r="BS128" s="28">
        <v>234</v>
      </c>
      <c r="BT128" s="28">
        <v>232</v>
      </c>
      <c r="BU128" s="28">
        <v>237</v>
      </c>
      <c r="BV128" s="28">
        <v>235</v>
      </c>
      <c r="BW128" s="28">
        <v>236</v>
      </c>
      <c r="BX128" s="28">
        <v>235</v>
      </c>
      <c r="BY128" s="28">
        <v>236</v>
      </c>
      <c r="BZ128" s="28">
        <v>235</v>
      </c>
      <c r="CA128" s="28">
        <v>235</v>
      </c>
      <c r="CB128" s="28">
        <v>235</v>
      </c>
      <c r="CC128" s="28">
        <v>233</v>
      </c>
    </row>
    <row r="129" spans="1:81" x14ac:dyDescent="0.25">
      <c r="A129" s="21" t="s">
        <v>301</v>
      </c>
      <c r="B129" s="22">
        <v>3</v>
      </c>
      <c r="C129" s="21" t="s">
        <v>302</v>
      </c>
      <c r="D129" s="23">
        <v>13439</v>
      </c>
      <c r="E129" s="24">
        <v>59.985965499999999</v>
      </c>
      <c r="F129" s="25">
        <v>0</v>
      </c>
      <c r="G129" s="21" t="s">
        <v>252</v>
      </c>
      <c r="H129" s="26">
        <v>224.03573715921939</v>
      </c>
      <c r="I129" s="24">
        <v>226.82937894116051</v>
      </c>
      <c r="J129" s="24">
        <v>172.4139120095945</v>
      </c>
      <c r="K129" s="24">
        <v>152.65653668420509</v>
      </c>
      <c r="L129" s="24">
        <v>151.64669985118621</v>
      </c>
      <c r="M129" s="24">
        <v>78.248240979542786</v>
      </c>
      <c r="N129" s="24">
        <v>40.668260862492467</v>
      </c>
      <c r="O129" s="24">
        <v>503.95605503200119</v>
      </c>
      <c r="P129" s="27">
        <v>4.4635735917851029</v>
      </c>
      <c r="Q129" s="27">
        <v>0.51360588515320471</v>
      </c>
      <c r="R129" s="24">
        <v>11.50660730896116</v>
      </c>
      <c r="S129" s="24">
        <v>1.488316713796696E-2</v>
      </c>
      <c r="T129" s="24">
        <v>2.9764119354118612E-2</v>
      </c>
      <c r="U129" s="22"/>
      <c r="V129" s="28">
        <v>237</v>
      </c>
      <c r="W129" s="28">
        <v>228</v>
      </c>
      <c r="X129" s="28">
        <v>225</v>
      </c>
      <c r="Y129" s="28">
        <v>225</v>
      </c>
      <c r="Z129" s="28">
        <v>225</v>
      </c>
      <c r="AA129" s="28">
        <v>220</v>
      </c>
      <c r="AB129" s="28">
        <v>225</v>
      </c>
      <c r="AC129" s="28">
        <v>223</v>
      </c>
      <c r="AD129" s="28">
        <v>225</v>
      </c>
      <c r="AE129" s="28">
        <v>222</v>
      </c>
      <c r="AF129" s="28">
        <v>223</v>
      </c>
      <c r="AG129" s="28">
        <v>221</v>
      </c>
      <c r="AH129" s="28">
        <v>223</v>
      </c>
      <c r="AI129" s="28">
        <v>225</v>
      </c>
      <c r="AJ129" s="28">
        <v>227</v>
      </c>
      <c r="AK129" s="28">
        <v>221</v>
      </c>
      <c r="AL129" s="28">
        <v>228</v>
      </c>
      <c r="AM129" s="28">
        <v>225</v>
      </c>
      <c r="AN129" s="28">
        <v>223</v>
      </c>
      <c r="AO129" s="28">
        <v>225</v>
      </c>
      <c r="AP129" s="28">
        <v>225</v>
      </c>
      <c r="AQ129" s="28">
        <v>225</v>
      </c>
      <c r="AR129" s="28">
        <v>225</v>
      </c>
      <c r="AS129" s="28">
        <v>224</v>
      </c>
      <c r="AT129" s="28">
        <v>227</v>
      </c>
      <c r="AU129" s="28">
        <v>222</v>
      </c>
      <c r="AV129" s="28">
        <v>223</v>
      </c>
      <c r="AW129" s="28">
        <v>219</v>
      </c>
      <c r="AX129" s="28">
        <v>225</v>
      </c>
      <c r="AY129" s="28">
        <v>225</v>
      </c>
      <c r="AZ129" s="28">
        <v>226</v>
      </c>
      <c r="BA129" s="28">
        <v>227</v>
      </c>
      <c r="BB129" s="28">
        <v>225</v>
      </c>
      <c r="BC129" s="28">
        <v>224</v>
      </c>
      <c r="BD129" s="28">
        <v>223</v>
      </c>
      <c r="BE129" s="28">
        <v>220</v>
      </c>
      <c r="BF129" s="28">
        <v>224</v>
      </c>
      <c r="BG129" s="28">
        <v>223</v>
      </c>
      <c r="BH129" s="28">
        <v>224</v>
      </c>
      <c r="BI129" s="28">
        <v>225</v>
      </c>
      <c r="BJ129" s="28">
        <v>227</v>
      </c>
      <c r="BK129" s="28">
        <v>224</v>
      </c>
      <c r="BL129" s="28">
        <v>221</v>
      </c>
      <c r="BM129" s="28">
        <v>224</v>
      </c>
      <c r="BN129" s="28">
        <v>226</v>
      </c>
      <c r="BO129" s="28">
        <v>221</v>
      </c>
      <c r="BP129" s="28">
        <v>224</v>
      </c>
      <c r="BQ129" s="28">
        <v>224</v>
      </c>
      <c r="BR129" s="28">
        <v>225</v>
      </c>
      <c r="BS129" s="28">
        <v>225</v>
      </c>
      <c r="BT129" s="28">
        <v>222</v>
      </c>
      <c r="BU129" s="28">
        <v>220</v>
      </c>
      <c r="BV129" s="28">
        <v>221</v>
      </c>
      <c r="BW129" s="28">
        <v>222</v>
      </c>
      <c r="BX129" s="28">
        <v>222</v>
      </c>
      <c r="BY129" s="28">
        <v>220</v>
      </c>
      <c r="BZ129" s="28">
        <v>225</v>
      </c>
      <c r="CA129" s="28">
        <v>225</v>
      </c>
      <c r="CB129" s="28">
        <v>222</v>
      </c>
      <c r="CC129" s="28">
        <v>222</v>
      </c>
    </row>
    <row r="130" spans="1:81" x14ac:dyDescent="0.25">
      <c r="A130" s="21" t="s">
        <v>301</v>
      </c>
      <c r="B130" s="22">
        <v>4</v>
      </c>
      <c r="C130" s="21" t="s">
        <v>302</v>
      </c>
      <c r="D130" s="23">
        <v>13389</v>
      </c>
      <c r="E130" s="24">
        <v>59.984727099999994</v>
      </c>
      <c r="F130" s="25">
        <v>0</v>
      </c>
      <c r="G130" s="21" t="s">
        <v>252</v>
      </c>
      <c r="H130" s="26">
        <v>223.20681692323649</v>
      </c>
      <c r="I130" s="24">
        <v>225.48422737829489</v>
      </c>
      <c r="J130" s="24">
        <v>171.1106380852583</v>
      </c>
      <c r="K130" s="24">
        <v>149.91577731630309</v>
      </c>
      <c r="L130" s="24">
        <v>150.97121775209169</v>
      </c>
      <c r="M130" s="24">
        <v>81.779388650002204</v>
      </c>
      <c r="N130" s="24">
        <v>35.847818839462711</v>
      </c>
      <c r="O130" s="24">
        <v>365.84473549425621</v>
      </c>
      <c r="P130" s="27">
        <v>4.4801499066397783</v>
      </c>
      <c r="Q130" s="27">
        <v>0.52205979226183774</v>
      </c>
      <c r="R130" s="24">
        <v>11.65273044743709</v>
      </c>
      <c r="S130" s="24">
        <v>2.24081266806095E-2</v>
      </c>
      <c r="T130" s="24">
        <v>1.4937635372320559E-2</v>
      </c>
      <c r="U130" s="22"/>
      <c r="V130" s="28">
        <v>226</v>
      </c>
      <c r="W130" s="28">
        <v>222</v>
      </c>
      <c r="X130" s="28">
        <v>224</v>
      </c>
      <c r="Y130" s="28">
        <v>226</v>
      </c>
      <c r="Z130" s="28">
        <v>224</v>
      </c>
      <c r="AA130" s="28">
        <v>226</v>
      </c>
      <c r="AB130" s="28">
        <v>223</v>
      </c>
      <c r="AC130" s="28">
        <v>226</v>
      </c>
      <c r="AD130" s="28">
        <v>224</v>
      </c>
      <c r="AE130" s="28">
        <v>226</v>
      </c>
      <c r="AF130" s="28">
        <v>225</v>
      </c>
      <c r="AG130" s="28">
        <v>221</v>
      </c>
      <c r="AH130" s="28">
        <v>224</v>
      </c>
      <c r="AI130" s="28">
        <v>225</v>
      </c>
      <c r="AJ130" s="28">
        <v>219</v>
      </c>
      <c r="AK130" s="28">
        <v>225</v>
      </c>
      <c r="AL130" s="28">
        <v>229</v>
      </c>
      <c r="AM130" s="28">
        <v>225</v>
      </c>
      <c r="AN130" s="28">
        <v>223</v>
      </c>
      <c r="AO130" s="28">
        <v>219</v>
      </c>
      <c r="AP130" s="28">
        <v>220</v>
      </c>
      <c r="AQ130" s="28">
        <v>222</v>
      </c>
      <c r="AR130" s="28">
        <v>224</v>
      </c>
      <c r="AS130" s="28">
        <v>223</v>
      </c>
      <c r="AT130" s="28">
        <v>225</v>
      </c>
      <c r="AU130" s="28">
        <v>223</v>
      </c>
      <c r="AV130" s="28">
        <v>223</v>
      </c>
      <c r="AW130" s="28">
        <v>221</v>
      </c>
      <c r="AX130" s="28">
        <v>227</v>
      </c>
      <c r="AY130" s="28">
        <v>222</v>
      </c>
      <c r="AZ130" s="28">
        <v>224</v>
      </c>
      <c r="BA130" s="28">
        <v>221</v>
      </c>
      <c r="BB130" s="28">
        <v>225</v>
      </c>
      <c r="BC130" s="28">
        <v>224</v>
      </c>
      <c r="BD130" s="28">
        <v>225</v>
      </c>
      <c r="BE130" s="28">
        <v>221</v>
      </c>
      <c r="BF130" s="28">
        <v>222</v>
      </c>
      <c r="BG130" s="28">
        <v>224</v>
      </c>
      <c r="BH130" s="28">
        <v>225</v>
      </c>
      <c r="BI130" s="28">
        <v>226</v>
      </c>
      <c r="BJ130" s="28">
        <v>226</v>
      </c>
      <c r="BK130" s="28">
        <v>219</v>
      </c>
      <c r="BL130" s="28">
        <v>222</v>
      </c>
      <c r="BM130" s="28">
        <v>221</v>
      </c>
      <c r="BN130" s="28">
        <v>221</v>
      </c>
      <c r="BO130" s="28">
        <v>222</v>
      </c>
      <c r="BP130" s="28">
        <v>222</v>
      </c>
      <c r="BQ130" s="28">
        <v>226</v>
      </c>
      <c r="BR130" s="28">
        <v>224</v>
      </c>
      <c r="BS130" s="28">
        <v>222</v>
      </c>
      <c r="BT130" s="28">
        <v>224</v>
      </c>
      <c r="BU130" s="28">
        <v>217</v>
      </c>
      <c r="BV130" s="28">
        <v>223</v>
      </c>
      <c r="BW130" s="28">
        <v>219</v>
      </c>
      <c r="BX130" s="28">
        <v>223</v>
      </c>
      <c r="BY130" s="28">
        <v>224</v>
      </c>
      <c r="BZ130" s="28">
        <v>223</v>
      </c>
      <c r="CA130" s="28">
        <v>220</v>
      </c>
      <c r="CB130" s="28">
        <v>224</v>
      </c>
      <c r="CC130" s="28">
        <v>218</v>
      </c>
    </row>
    <row r="131" spans="1:81" x14ac:dyDescent="0.25">
      <c r="A131" s="21" t="s">
        <v>301</v>
      </c>
      <c r="B131" s="22">
        <v>5</v>
      </c>
      <c r="C131" s="21" t="s">
        <v>302</v>
      </c>
      <c r="D131" s="23">
        <v>13380</v>
      </c>
      <c r="E131" s="24">
        <v>59.995881300000001</v>
      </c>
      <c r="F131" s="25">
        <v>0</v>
      </c>
      <c r="G131" s="21" t="s">
        <v>252</v>
      </c>
      <c r="H131" s="26">
        <v>223.01530888587851</v>
      </c>
      <c r="I131" s="24">
        <v>225.55797403827719</v>
      </c>
      <c r="J131" s="24">
        <v>170.77071384719949</v>
      </c>
      <c r="K131" s="24">
        <v>149.41829217581571</v>
      </c>
      <c r="L131" s="24">
        <v>150.71842171643769</v>
      </c>
      <c r="M131" s="24">
        <v>80.252699700817928</v>
      </c>
      <c r="N131" s="24">
        <v>35.593775360564948</v>
      </c>
      <c r="O131" s="24">
        <v>399.20159680638722</v>
      </c>
      <c r="P131" s="27">
        <v>4.4839971076233187</v>
      </c>
      <c r="Q131" s="27">
        <v>0.52846674953301465</v>
      </c>
      <c r="R131" s="24">
        <v>11.785617538302141</v>
      </c>
      <c r="S131" s="24">
        <v>2.2423200538156812E-2</v>
      </c>
      <c r="T131" s="24">
        <v>2.2421524663677129E-2</v>
      </c>
      <c r="U131" s="22"/>
      <c r="V131" s="28">
        <v>218</v>
      </c>
      <c r="W131" s="28">
        <v>227</v>
      </c>
      <c r="X131" s="28">
        <v>227</v>
      </c>
      <c r="Y131" s="28">
        <v>227</v>
      </c>
      <c r="Z131" s="28">
        <v>223</v>
      </c>
      <c r="AA131" s="28">
        <v>224</v>
      </c>
      <c r="AB131" s="28">
        <v>220</v>
      </c>
      <c r="AC131" s="28">
        <v>223</v>
      </c>
      <c r="AD131" s="28">
        <v>226</v>
      </c>
      <c r="AE131" s="28">
        <v>226</v>
      </c>
      <c r="AF131" s="28">
        <v>225</v>
      </c>
      <c r="AG131" s="28">
        <v>225</v>
      </c>
      <c r="AH131" s="28">
        <v>225</v>
      </c>
      <c r="AI131" s="28">
        <v>226</v>
      </c>
      <c r="AJ131" s="28">
        <v>225</v>
      </c>
      <c r="AK131" s="28">
        <v>227</v>
      </c>
      <c r="AL131" s="28">
        <v>224</v>
      </c>
      <c r="AM131" s="28">
        <v>222</v>
      </c>
      <c r="AN131" s="28">
        <v>225</v>
      </c>
      <c r="AO131" s="28">
        <v>223</v>
      </c>
      <c r="AP131" s="28">
        <v>226</v>
      </c>
      <c r="AQ131" s="28">
        <v>225</v>
      </c>
      <c r="AR131" s="28">
        <v>216</v>
      </c>
      <c r="AS131" s="28">
        <v>225</v>
      </c>
      <c r="AT131" s="28">
        <v>222</v>
      </c>
      <c r="AU131" s="28">
        <v>222</v>
      </c>
      <c r="AV131" s="28">
        <v>217</v>
      </c>
      <c r="AW131" s="28">
        <v>221</v>
      </c>
      <c r="AX131" s="28">
        <v>220</v>
      </c>
      <c r="AY131" s="28">
        <v>223</v>
      </c>
      <c r="AZ131" s="28">
        <v>224</v>
      </c>
      <c r="BA131" s="28">
        <v>227</v>
      </c>
      <c r="BB131" s="28">
        <v>223</v>
      </c>
      <c r="BC131" s="28">
        <v>224</v>
      </c>
      <c r="BD131" s="28">
        <v>223</v>
      </c>
      <c r="BE131" s="28">
        <v>223</v>
      </c>
      <c r="BF131" s="28">
        <v>219</v>
      </c>
      <c r="BG131" s="28">
        <v>221</v>
      </c>
      <c r="BH131" s="28">
        <v>221</v>
      </c>
      <c r="BI131" s="28">
        <v>225</v>
      </c>
      <c r="BJ131" s="28">
        <v>222</v>
      </c>
      <c r="BK131" s="28">
        <v>222</v>
      </c>
      <c r="BL131" s="28">
        <v>222</v>
      </c>
      <c r="BM131" s="28">
        <v>221</v>
      </c>
      <c r="BN131" s="28">
        <v>223</v>
      </c>
      <c r="BO131" s="28">
        <v>225</v>
      </c>
      <c r="BP131" s="28">
        <v>221</v>
      </c>
      <c r="BQ131" s="28">
        <v>223</v>
      </c>
      <c r="BR131" s="28">
        <v>223</v>
      </c>
      <c r="BS131" s="28">
        <v>222</v>
      </c>
      <c r="BT131" s="28">
        <v>223</v>
      </c>
      <c r="BU131" s="28">
        <v>221</v>
      </c>
      <c r="BV131" s="28">
        <v>222</v>
      </c>
      <c r="BW131" s="28">
        <v>224</v>
      </c>
      <c r="BX131" s="28">
        <v>224</v>
      </c>
      <c r="BY131" s="28">
        <v>221</v>
      </c>
      <c r="BZ131" s="28">
        <v>220</v>
      </c>
      <c r="CA131" s="28">
        <v>222</v>
      </c>
      <c r="CB131" s="28">
        <v>223</v>
      </c>
      <c r="CC131" s="28">
        <v>221</v>
      </c>
    </row>
    <row r="132" spans="1:81" x14ac:dyDescent="0.25">
      <c r="A132" s="13" t="s">
        <v>303</v>
      </c>
      <c r="B132" s="14">
        <v>1</v>
      </c>
      <c r="C132" s="13" t="s">
        <v>304</v>
      </c>
      <c r="D132" s="15">
        <v>13593</v>
      </c>
      <c r="E132" s="16">
        <v>59.991967199999998</v>
      </c>
      <c r="F132" s="17">
        <v>0</v>
      </c>
      <c r="G132" s="13" t="s">
        <v>252</v>
      </c>
      <c r="H132" s="18">
        <v>226.58033457519289</v>
      </c>
      <c r="I132" s="16">
        <v>229.93262973948629</v>
      </c>
      <c r="J132" s="16">
        <v>174.0534970828634</v>
      </c>
      <c r="K132" s="16">
        <v>157.5578284497752</v>
      </c>
      <c r="L132" s="16">
        <v>156.5652906409766</v>
      </c>
      <c r="M132" s="16">
        <v>94.863609844945415</v>
      </c>
      <c r="N132" s="16">
        <v>43.004648802535563</v>
      </c>
      <c r="O132" s="16">
        <v>343.43018064427503</v>
      </c>
      <c r="P132" s="19">
        <v>4.4134456852791866</v>
      </c>
      <c r="Q132" s="19">
        <v>0.49160144346752338</v>
      </c>
      <c r="R132" s="16">
        <v>11.138721953851929</v>
      </c>
      <c r="S132" s="16">
        <v>1.471453796350795E-2</v>
      </c>
      <c r="T132" s="16">
        <v>2.2070183182520419E-2</v>
      </c>
      <c r="U132" s="14"/>
      <c r="V132" s="20">
        <v>226</v>
      </c>
      <c r="W132" s="20">
        <v>228</v>
      </c>
      <c r="X132" s="20">
        <v>230</v>
      </c>
      <c r="Y132" s="20">
        <v>227</v>
      </c>
      <c r="Z132" s="20">
        <v>229</v>
      </c>
      <c r="AA132" s="20">
        <v>228</v>
      </c>
      <c r="AB132" s="20">
        <v>229</v>
      </c>
      <c r="AC132" s="20">
        <v>228</v>
      </c>
      <c r="AD132" s="20">
        <v>230</v>
      </c>
      <c r="AE132" s="20">
        <v>225</v>
      </c>
      <c r="AF132" s="20">
        <v>229</v>
      </c>
      <c r="AG132" s="20">
        <v>228</v>
      </c>
      <c r="AH132" s="20">
        <v>228</v>
      </c>
      <c r="AI132" s="20">
        <v>229</v>
      </c>
      <c r="AJ132" s="20">
        <v>229</v>
      </c>
      <c r="AK132" s="20">
        <v>227</v>
      </c>
      <c r="AL132" s="20">
        <v>228</v>
      </c>
      <c r="AM132" s="20">
        <v>226</v>
      </c>
      <c r="AN132" s="20">
        <v>231</v>
      </c>
      <c r="AO132" s="20">
        <v>216</v>
      </c>
      <c r="AP132" s="20">
        <v>227</v>
      </c>
      <c r="AQ132" s="20">
        <v>228</v>
      </c>
      <c r="AR132" s="20">
        <v>228</v>
      </c>
      <c r="AS132" s="20">
        <v>227</v>
      </c>
      <c r="AT132" s="20">
        <v>229</v>
      </c>
      <c r="AU132" s="20">
        <v>227</v>
      </c>
      <c r="AV132" s="20">
        <v>230</v>
      </c>
      <c r="AW132" s="20">
        <v>229</v>
      </c>
      <c r="AX132" s="20">
        <v>229</v>
      </c>
      <c r="AY132" s="20">
        <v>224</v>
      </c>
      <c r="AZ132" s="20">
        <v>229</v>
      </c>
      <c r="BA132" s="20">
        <v>229</v>
      </c>
      <c r="BB132" s="20">
        <v>230</v>
      </c>
      <c r="BC132" s="20">
        <v>230</v>
      </c>
      <c r="BD132" s="20">
        <v>229</v>
      </c>
      <c r="BE132" s="20">
        <v>220</v>
      </c>
      <c r="BF132" s="20">
        <v>218</v>
      </c>
      <c r="BG132" s="20">
        <v>215</v>
      </c>
      <c r="BH132" s="20">
        <v>217</v>
      </c>
      <c r="BI132" s="20">
        <v>213</v>
      </c>
      <c r="BJ132" s="20">
        <v>220</v>
      </c>
      <c r="BK132" s="20">
        <v>218</v>
      </c>
      <c r="BL132" s="20">
        <v>230</v>
      </c>
      <c r="BM132" s="20">
        <v>227</v>
      </c>
      <c r="BN132" s="20">
        <v>230</v>
      </c>
      <c r="BO132" s="20">
        <v>229</v>
      </c>
      <c r="BP132" s="20">
        <v>228</v>
      </c>
      <c r="BQ132" s="20">
        <v>226</v>
      </c>
      <c r="BR132" s="20">
        <v>229</v>
      </c>
      <c r="BS132" s="20">
        <v>224</v>
      </c>
      <c r="BT132" s="20">
        <v>231</v>
      </c>
      <c r="BU132" s="20">
        <v>226</v>
      </c>
      <c r="BV132" s="20">
        <v>226</v>
      </c>
      <c r="BW132" s="20">
        <v>229</v>
      </c>
      <c r="BX132" s="20">
        <v>227</v>
      </c>
      <c r="BY132" s="20">
        <v>228</v>
      </c>
      <c r="BZ132" s="20">
        <v>227</v>
      </c>
      <c r="CA132" s="20">
        <v>227</v>
      </c>
      <c r="CB132" s="20">
        <v>231</v>
      </c>
      <c r="CC132" s="20">
        <v>221</v>
      </c>
    </row>
    <row r="133" spans="1:81" x14ac:dyDescent="0.25">
      <c r="A133" s="13" t="s">
        <v>303</v>
      </c>
      <c r="B133" s="14">
        <v>2</v>
      </c>
      <c r="C133" s="13" t="s">
        <v>304</v>
      </c>
      <c r="D133" s="15">
        <v>13614</v>
      </c>
      <c r="E133" s="16">
        <v>59.9798458</v>
      </c>
      <c r="F133" s="17">
        <v>0</v>
      </c>
      <c r="G133" s="13" t="s">
        <v>252</v>
      </c>
      <c r="H133" s="18">
        <v>226.97624207630091</v>
      </c>
      <c r="I133" s="16">
        <v>230.38820412394881</v>
      </c>
      <c r="J133" s="16">
        <v>174.2920301309091</v>
      </c>
      <c r="K133" s="16">
        <v>153.50009614478509</v>
      </c>
      <c r="L133" s="16">
        <v>153.1568965884635</v>
      </c>
      <c r="M133" s="16">
        <v>80.049823009841333</v>
      </c>
      <c r="N133" s="16">
        <v>41.567251656454978</v>
      </c>
      <c r="O133" s="16">
        <v>327.22513089005241</v>
      </c>
      <c r="P133" s="19">
        <v>4.4057474511532249</v>
      </c>
      <c r="Q133" s="19">
        <v>0.49795465142075002</v>
      </c>
      <c r="R133" s="16">
        <v>11.30238755038962</v>
      </c>
      <c r="S133" s="16">
        <v>2.938367736722251E-2</v>
      </c>
      <c r="T133" s="16">
        <v>2.9381519024533571E-2</v>
      </c>
      <c r="U133" s="14"/>
      <c r="V133" s="20">
        <v>230</v>
      </c>
      <c r="W133" s="20">
        <v>227</v>
      </c>
      <c r="X133" s="20">
        <v>229</v>
      </c>
      <c r="Y133" s="20">
        <v>232</v>
      </c>
      <c r="Z133" s="20">
        <v>226</v>
      </c>
      <c r="AA133" s="20">
        <v>219</v>
      </c>
      <c r="AB133" s="20">
        <v>227</v>
      </c>
      <c r="AC133" s="20">
        <v>230</v>
      </c>
      <c r="AD133" s="20">
        <v>228</v>
      </c>
      <c r="AE133" s="20">
        <v>228</v>
      </c>
      <c r="AF133" s="20">
        <v>231</v>
      </c>
      <c r="AG133" s="20">
        <v>231</v>
      </c>
      <c r="AH133" s="20">
        <v>227</v>
      </c>
      <c r="AI133" s="20">
        <v>228</v>
      </c>
      <c r="AJ133" s="20">
        <v>225</v>
      </c>
      <c r="AK133" s="20">
        <v>224</v>
      </c>
      <c r="AL133" s="20">
        <v>228</v>
      </c>
      <c r="AM133" s="20">
        <v>226</v>
      </c>
      <c r="AN133" s="20">
        <v>222</v>
      </c>
      <c r="AO133" s="20">
        <v>228</v>
      </c>
      <c r="AP133" s="20">
        <v>227</v>
      </c>
      <c r="AQ133" s="20">
        <v>226</v>
      </c>
      <c r="AR133" s="20">
        <v>226</v>
      </c>
      <c r="AS133" s="20">
        <v>226</v>
      </c>
      <c r="AT133" s="20">
        <v>226</v>
      </c>
      <c r="AU133" s="20">
        <v>222</v>
      </c>
      <c r="AV133" s="20">
        <v>223</v>
      </c>
      <c r="AW133" s="20">
        <v>227</v>
      </c>
      <c r="AX133" s="20">
        <v>229</v>
      </c>
      <c r="AY133" s="20">
        <v>226</v>
      </c>
      <c r="AZ133" s="20">
        <v>227</v>
      </c>
      <c r="BA133" s="20">
        <v>226</v>
      </c>
      <c r="BB133" s="20">
        <v>226</v>
      </c>
      <c r="BC133" s="20">
        <v>226</v>
      </c>
      <c r="BD133" s="20">
        <v>231</v>
      </c>
      <c r="BE133" s="20">
        <v>225</v>
      </c>
      <c r="BF133" s="20">
        <v>226</v>
      </c>
      <c r="BG133" s="20">
        <v>228</v>
      </c>
      <c r="BH133" s="20">
        <v>228</v>
      </c>
      <c r="BI133" s="20">
        <v>224</v>
      </c>
      <c r="BJ133" s="20">
        <v>227</v>
      </c>
      <c r="BK133" s="20">
        <v>227</v>
      </c>
      <c r="BL133" s="20">
        <v>227</v>
      </c>
      <c r="BM133" s="20">
        <v>230</v>
      </c>
      <c r="BN133" s="20">
        <v>227</v>
      </c>
      <c r="BO133" s="20">
        <v>226</v>
      </c>
      <c r="BP133" s="20">
        <v>227</v>
      </c>
      <c r="BQ133" s="20">
        <v>230</v>
      </c>
      <c r="BR133" s="20">
        <v>227</v>
      </c>
      <c r="BS133" s="20">
        <v>231</v>
      </c>
      <c r="BT133" s="20">
        <v>227</v>
      </c>
      <c r="BU133" s="20">
        <v>227</v>
      </c>
      <c r="BV133" s="20">
        <v>224</v>
      </c>
      <c r="BW133" s="20">
        <v>227</v>
      </c>
      <c r="BX133" s="20">
        <v>226</v>
      </c>
      <c r="BY133" s="20">
        <v>224</v>
      </c>
      <c r="BZ133" s="20">
        <v>229</v>
      </c>
      <c r="CA133" s="20">
        <v>229</v>
      </c>
      <c r="CB133" s="20">
        <v>229</v>
      </c>
      <c r="CC133" s="20">
        <v>222</v>
      </c>
    </row>
    <row r="134" spans="1:81" x14ac:dyDescent="0.25">
      <c r="A134" s="13" t="s">
        <v>303</v>
      </c>
      <c r="B134" s="14">
        <v>3</v>
      </c>
      <c r="C134" s="13" t="s">
        <v>304</v>
      </c>
      <c r="D134" s="15">
        <v>13573</v>
      </c>
      <c r="E134" s="16">
        <v>59.976520699999988</v>
      </c>
      <c r="F134" s="17">
        <v>0</v>
      </c>
      <c r="G134" s="13" t="s">
        <v>252</v>
      </c>
      <c r="H134" s="18">
        <v>226.30522480441249</v>
      </c>
      <c r="I134" s="16">
        <v>229.77413202821629</v>
      </c>
      <c r="J134" s="16">
        <v>173.25869810642101</v>
      </c>
      <c r="K134" s="16">
        <v>153.37972845162031</v>
      </c>
      <c r="L134" s="16">
        <v>152.73618575907719</v>
      </c>
      <c r="M134" s="16">
        <v>79.743417579595899</v>
      </c>
      <c r="N134" s="16">
        <v>36.496217167090627</v>
      </c>
      <c r="O134" s="16">
        <v>334.98593059091519</v>
      </c>
      <c r="P134" s="19">
        <v>4.4188109261032924</v>
      </c>
      <c r="Q134" s="19">
        <v>0.50790924968669804</v>
      </c>
      <c r="R134" s="16">
        <v>11.494251693058869</v>
      </c>
      <c r="S134" s="16">
        <v>2.210433244916004E-2</v>
      </c>
      <c r="T134" s="16">
        <v>2.947027186325794E-2</v>
      </c>
      <c r="U134" s="14"/>
      <c r="V134" s="20">
        <v>224</v>
      </c>
      <c r="W134" s="20">
        <v>227</v>
      </c>
      <c r="X134" s="20">
        <v>227</v>
      </c>
      <c r="Y134" s="20">
        <v>232</v>
      </c>
      <c r="Z134" s="20">
        <v>231</v>
      </c>
      <c r="AA134" s="20">
        <v>231</v>
      </c>
      <c r="AB134" s="20">
        <v>228</v>
      </c>
      <c r="AC134" s="20">
        <v>226</v>
      </c>
      <c r="AD134" s="20">
        <v>224</v>
      </c>
      <c r="AE134" s="20">
        <v>225</v>
      </c>
      <c r="AF134" s="20">
        <v>223</v>
      </c>
      <c r="AG134" s="20">
        <v>227</v>
      </c>
      <c r="AH134" s="20">
        <v>221</v>
      </c>
      <c r="AI134" s="20">
        <v>225</v>
      </c>
      <c r="AJ134" s="20">
        <v>226</v>
      </c>
      <c r="AK134" s="20">
        <v>225</v>
      </c>
      <c r="AL134" s="20">
        <v>226</v>
      </c>
      <c r="AM134" s="20">
        <v>223</v>
      </c>
      <c r="AN134" s="20">
        <v>227</v>
      </c>
      <c r="AO134" s="20">
        <v>226</v>
      </c>
      <c r="AP134" s="20">
        <v>221</v>
      </c>
      <c r="AQ134" s="20">
        <v>225</v>
      </c>
      <c r="AR134" s="20">
        <v>227</v>
      </c>
      <c r="AS134" s="20">
        <v>226</v>
      </c>
      <c r="AT134" s="20">
        <v>224</v>
      </c>
      <c r="AU134" s="20">
        <v>226</v>
      </c>
      <c r="AV134" s="20">
        <v>228</v>
      </c>
      <c r="AW134" s="20">
        <v>224</v>
      </c>
      <c r="AX134" s="20">
        <v>227</v>
      </c>
      <c r="AY134" s="20">
        <v>226</v>
      </c>
      <c r="AZ134" s="20">
        <v>222</v>
      </c>
      <c r="BA134" s="20">
        <v>226</v>
      </c>
      <c r="BB134" s="20">
        <v>228</v>
      </c>
      <c r="BC134" s="20">
        <v>228</v>
      </c>
      <c r="BD134" s="20">
        <v>229</v>
      </c>
      <c r="BE134" s="20">
        <v>227</v>
      </c>
      <c r="BF134" s="20">
        <v>226</v>
      </c>
      <c r="BG134" s="20">
        <v>226</v>
      </c>
      <c r="BH134" s="20">
        <v>226</v>
      </c>
      <c r="BI134" s="20">
        <v>228</v>
      </c>
      <c r="BJ134" s="20">
        <v>224</v>
      </c>
      <c r="BK134" s="20">
        <v>224</v>
      </c>
      <c r="BL134" s="20">
        <v>226</v>
      </c>
      <c r="BM134" s="20">
        <v>226</v>
      </c>
      <c r="BN134" s="20">
        <v>226</v>
      </c>
      <c r="BO134" s="20">
        <v>226</v>
      </c>
      <c r="BP134" s="20">
        <v>227</v>
      </c>
      <c r="BQ134" s="20">
        <v>231</v>
      </c>
      <c r="BR134" s="20">
        <v>228</v>
      </c>
      <c r="BS134" s="20">
        <v>231</v>
      </c>
      <c r="BT134" s="20">
        <v>226</v>
      </c>
      <c r="BU134" s="20">
        <v>228</v>
      </c>
      <c r="BV134" s="20">
        <v>224</v>
      </c>
      <c r="BW134" s="20">
        <v>222</v>
      </c>
      <c r="BX134" s="20">
        <v>227</v>
      </c>
      <c r="BY134" s="20">
        <v>226</v>
      </c>
      <c r="BZ134" s="20">
        <v>228</v>
      </c>
      <c r="CA134" s="20">
        <v>231</v>
      </c>
      <c r="CB134" s="20">
        <v>226</v>
      </c>
      <c r="CC134" s="20">
        <v>222</v>
      </c>
    </row>
    <row r="135" spans="1:81" x14ac:dyDescent="0.25">
      <c r="A135" s="13" t="s">
        <v>303</v>
      </c>
      <c r="B135" s="14">
        <v>4</v>
      </c>
      <c r="C135" s="13" t="s">
        <v>304</v>
      </c>
      <c r="D135" s="15">
        <v>13745</v>
      </c>
      <c r="E135" s="16">
        <v>60.0059088</v>
      </c>
      <c r="F135" s="17">
        <v>0</v>
      </c>
      <c r="G135" s="13" t="s">
        <v>252</v>
      </c>
      <c r="H135" s="18">
        <v>229.06077542816919</v>
      </c>
      <c r="I135" s="16">
        <v>232.2556670382757</v>
      </c>
      <c r="J135" s="16">
        <v>175.2668964298835</v>
      </c>
      <c r="K135" s="16">
        <v>155.22875005339779</v>
      </c>
      <c r="L135" s="16">
        <v>155.35264223443369</v>
      </c>
      <c r="M135" s="16">
        <v>80.485358908360979</v>
      </c>
      <c r="N135" s="16">
        <v>34.890496177746137</v>
      </c>
      <c r="O135" s="16">
        <v>424.34015106509378</v>
      </c>
      <c r="P135" s="19">
        <v>4.3656536049472532</v>
      </c>
      <c r="Q135" s="19">
        <v>0.5102644654067725</v>
      </c>
      <c r="R135" s="16">
        <v>11.688157411951551</v>
      </c>
      <c r="S135" s="16">
        <v>1.455180442374854E-2</v>
      </c>
      <c r="T135" s="16">
        <v>1.4550745725718441E-2</v>
      </c>
      <c r="U135" s="14"/>
      <c r="V135" s="20">
        <v>226</v>
      </c>
      <c r="W135" s="20">
        <v>227</v>
      </c>
      <c r="X135" s="20">
        <v>227</v>
      </c>
      <c r="Y135" s="20">
        <v>227</v>
      </c>
      <c r="Z135" s="20">
        <v>225</v>
      </c>
      <c r="AA135" s="20">
        <v>227</v>
      </c>
      <c r="AB135" s="20">
        <v>221</v>
      </c>
      <c r="AC135" s="20">
        <v>229</v>
      </c>
      <c r="AD135" s="20">
        <v>230</v>
      </c>
      <c r="AE135" s="20">
        <v>231</v>
      </c>
      <c r="AF135" s="20">
        <v>230</v>
      </c>
      <c r="AG135" s="20">
        <v>225</v>
      </c>
      <c r="AH135" s="20">
        <v>228</v>
      </c>
      <c r="AI135" s="20">
        <v>227</v>
      </c>
      <c r="AJ135" s="20">
        <v>228</v>
      </c>
      <c r="AK135" s="20">
        <v>228</v>
      </c>
      <c r="AL135" s="20">
        <v>227</v>
      </c>
      <c r="AM135" s="20">
        <v>231</v>
      </c>
      <c r="AN135" s="20">
        <v>228</v>
      </c>
      <c r="AO135" s="20">
        <v>231</v>
      </c>
      <c r="AP135" s="20">
        <v>232</v>
      </c>
      <c r="AQ135" s="20">
        <v>229</v>
      </c>
      <c r="AR135" s="20">
        <v>230</v>
      </c>
      <c r="AS135" s="20">
        <v>228</v>
      </c>
      <c r="AT135" s="20">
        <v>232</v>
      </c>
      <c r="AU135" s="20">
        <v>228</v>
      </c>
      <c r="AV135" s="20">
        <v>226</v>
      </c>
      <c r="AW135" s="20">
        <v>229</v>
      </c>
      <c r="AX135" s="20">
        <v>229</v>
      </c>
      <c r="AY135" s="20">
        <v>231</v>
      </c>
      <c r="AZ135" s="20">
        <v>226</v>
      </c>
      <c r="BA135" s="20">
        <v>229</v>
      </c>
      <c r="BB135" s="20">
        <v>233</v>
      </c>
      <c r="BC135" s="20">
        <v>233</v>
      </c>
      <c r="BD135" s="20">
        <v>231</v>
      </c>
      <c r="BE135" s="20">
        <v>232</v>
      </c>
      <c r="BF135" s="20">
        <v>230</v>
      </c>
      <c r="BG135" s="20">
        <v>231</v>
      </c>
      <c r="BH135" s="20">
        <v>230</v>
      </c>
      <c r="BI135" s="20">
        <v>222</v>
      </c>
      <c r="BJ135" s="20">
        <v>229</v>
      </c>
      <c r="BK135" s="20">
        <v>230</v>
      </c>
      <c r="BL135" s="20">
        <v>233</v>
      </c>
      <c r="BM135" s="20">
        <v>229</v>
      </c>
      <c r="BN135" s="20">
        <v>231</v>
      </c>
      <c r="BO135" s="20">
        <v>231</v>
      </c>
      <c r="BP135" s="20">
        <v>228</v>
      </c>
      <c r="BQ135" s="20">
        <v>229</v>
      </c>
      <c r="BR135" s="20">
        <v>234</v>
      </c>
      <c r="BS135" s="20">
        <v>232</v>
      </c>
      <c r="BT135" s="20">
        <v>230</v>
      </c>
      <c r="BU135" s="20">
        <v>232</v>
      </c>
      <c r="BV135" s="20">
        <v>228</v>
      </c>
      <c r="BW135" s="20">
        <v>229</v>
      </c>
      <c r="BX135" s="20">
        <v>228</v>
      </c>
      <c r="BY135" s="20">
        <v>231</v>
      </c>
      <c r="BZ135" s="20">
        <v>230</v>
      </c>
      <c r="CA135" s="20">
        <v>229</v>
      </c>
      <c r="CB135" s="20">
        <v>229</v>
      </c>
      <c r="CC135" s="20">
        <v>227</v>
      </c>
    </row>
    <row r="136" spans="1:81" x14ac:dyDescent="0.25">
      <c r="A136" s="13" t="s">
        <v>303</v>
      </c>
      <c r="B136" s="14">
        <v>5</v>
      </c>
      <c r="C136" s="13" t="s">
        <v>304</v>
      </c>
      <c r="D136" s="15">
        <v>13688</v>
      </c>
      <c r="E136" s="16">
        <v>60.011892999999993</v>
      </c>
      <c r="F136" s="17">
        <v>0</v>
      </c>
      <c r="G136" s="13" t="s">
        <v>252</v>
      </c>
      <c r="H136" s="18">
        <v>228.08812246599189</v>
      </c>
      <c r="I136" s="16">
        <v>231.11768512526581</v>
      </c>
      <c r="J136" s="16">
        <v>174.51352174394859</v>
      </c>
      <c r="K136" s="16">
        <v>151.6468614096442</v>
      </c>
      <c r="L136" s="16">
        <v>154.19159914428641</v>
      </c>
      <c r="M136" s="16">
        <v>91.124476034262784</v>
      </c>
      <c r="N136" s="16">
        <v>43.384889043146273</v>
      </c>
      <c r="O136" s="16">
        <v>410.27324197915817</v>
      </c>
      <c r="P136" s="19">
        <v>4.3842703828170659</v>
      </c>
      <c r="Q136" s="19">
        <v>0.50312924313608698</v>
      </c>
      <c r="R136" s="16">
        <v>11.47578044246456</v>
      </c>
      <c r="S136" s="16">
        <v>2.922481186527362E-2</v>
      </c>
      <c r="T136" s="16">
        <v>2.9222676797194619E-2</v>
      </c>
      <c r="U136" s="14"/>
      <c r="V136" s="20">
        <v>231</v>
      </c>
      <c r="W136" s="20">
        <v>227</v>
      </c>
      <c r="X136" s="20">
        <v>231</v>
      </c>
      <c r="Y136" s="20">
        <v>231</v>
      </c>
      <c r="Z136" s="20">
        <v>229</v>
      </c>
      <c r="AA136" s="20">
        <v>226</v>
      </c>
      <c r="AB136" s="20">
        <v>230</v>
      </c>
      <c r="AC136" s="20">
        <v>225</v>
      </c>
      <c r="AD136" s="20">
        <v>230</v>
      </c>
      <c r="AE136" s="20">
        <v>229</v>
      </c>
      <c r="AF136" s="20">
        <v>231</v>
      </c>
      <c r="AG136" s="20">
        <v>224</v>
      </c>
      <c r="AH136" s="20">
        <v>231</v>
      </c>
      <c r="AI136" s="20">
        <v>230</v>
      </c>
      <c r="AJ136" s="20">
        <v>229</v>
      </c>
      <c r="AK136" s="20">
        <v>231</v>
      </c>
      <c r="AL136" s="20">
        <v>231</v>
      </c>
      <c r="AM136" s="20">
        <v>231</v>
      </c>
      <c r="AN136" s="20">
        <v>229</v>
      </c>
      <c r="AO136" s="20">
        <v>230</v>
      </c>
      <c r="AP136" s="20">
        <v>227</v>
      </c>
      <c r="AQ136" s="20">
        <v>226</v>
      </c>
      <c r="AR136" s="20">
        <v>230</v>
      </c>
      <c r="AS136" s="20">
        <v>231</v>
      </c>
      <c r="AT136" s="20">
        <v>230</v>
      </c>
      <c r="AU136" s="20">
        <v>230</v>
      </c>
      <c r="AV136" s="20">
        <v>223</v>
      </c>
      <c r="AW136" s="20">
        <v>232</v>
      </c>
      <c r="AX136" s="20">
        <v>231</v>
      </c>
      <c r="AY136" s="20">
        <v>233</v>
      </c>
      <c r="AZ136" s="20">
        <v>229</v>
      </c>
      <c r="BA136" s="20">
        <v>230</v>
      </c>
      <c r="BB136" s="20">
        <v>229</v>
      </c>
      <c r="BC136" s="20">
        <v>228</v>
      </c>
      <c r="BD136" s="20">
        <v>227</v>
      </c>
      <c r="BE136" s="20">
        <v>230</v>
      </c>
      <c r="BF136" s="20">
        <v>229</v>
      </c>
      <c r="BG136" s="20">
        <v>231</v>
      </c>
      <c r="BH136" s="20">
        <v>232</v>
      </c>
      <c r="BI136" s="20">
        <v>230</v>
      </c>
      <c r="BJ136" s="20">
        <v>227</v>
      </c>
      <c r="BK136" s="20">
        <v>224</v>
      </c>
      <c r="BL136" s="20">
        <v>228</v>
      </c>
      <c r="BM136" s="20">
        <v>229</v>
      </c>
      <c r="BN136" s="20">
        <v>227</v>
      </c>
      <c r="BO136" s="20">
        <v>226</v>
      </c>
      <c r="BP136" s="20">
        <v>232</v>
      </c>
      <c r="BQ136" s="20">
        <v>229</v>
      </c>
      <c r="BR136" s="20">
        <v>230</v>
      </c>
      <c r="BS136" s="20">
        <v>230</v>
      </c>
      <c r="BT136" s="20">
        <v>231</v>
      </c>
      <c r="BU136" s="20">
        <v>223</v>
      </c>
      <c r="BV136" s="20">
        <v>221</v>
      </c>
      <c r="BW136" s="20">
        <v>220</v>
      </c>
      <c r="BX136" s="20">
        <v>224</v>
      </c>
      <c r="BY136" s="20">
        <v>219</v>
      </c>
      <c r="BZ136" s="20">
        <v>220</v>
      </c>
      <c r="CA136" s="20">
        <v>218</v>
      </c>
      <c r="CB136" s="20">
        <v>225</v>
      </c>
      <c r="CC136" s="20">
        <v>229</v>
      </c>
    </row>
    <row r="137" spans="1:81" x14ac:dyDescent="0.25">
      <c r="A137" s="21" t="s">
        <v>305</v>
      </c>
      <c r="B137" s="22">
        <v>1</v>
      </c>
      <c r="C137" s="21" t="s">
        <v>306</v>
      </c>
      <c r="D137" s="23">
        <v>13684</v>
      </c>
      <c r="E137" s="24">
        <v>59.988670499999998</v>
      </c>
      <c r="F137" s="25">
        <v>0</v>
      </c>
      <c r="G137" s="21" t="s">
        <v>252</v>
      </c>
      <c r="H137" s="26">
        <v>228.10973948822561</v>
      </c>
      <c r="I137" s="24">
        <v>230.3775888681549</v>
      </c>
      <c r="J137" s="24">
        <v>178.19696038752849</v>
      </c>
      <c r="K137" s="24">
        <v>159.6017591369733</v>
      </c>
      <c r="L137" s="24">
        <v>160.75630371870761</v>
      </c>
      <c r="M137" s="24">
        <v>95.573817234189306</v>
      </c>
      <c r="N137" s="24">
        <v>43.993946432970823</v>
      </c>
      <c r="O137" s="24">
        <v>463.07015512850199</v>
      </c>
      <c r="P137" s="27">
        <v>4.3838549035369772</v>
      </c>
      <c r="Q137" s="27">
        <v>0.49328950414422013</v>
      </c>
      <c r="R137" s="24">
        <v>11.2524140282614</v>
      </c>
      <c r="S137" s="24">
        <v>1.4616677629174891E-2</v>
      </c>
      <c r="T137" s="24">
        <v>1.4615609470914941E-2</v>
      </c>
      <c r="U137" s="22"/>
      <c r="V137" s="28">
        <v>228</v>
      </c>
      <c r="W137" s="28">
        <v>228</v>
      </c>
      <c r="X137" s="28">
        <v>228</v>
      </c>
      <c r="Y137" s="28">
        <v>227</v>
      </c>
      <c r="Z137" s="28">
        <v>230</v>
      </c>
      <c r="AA137" s="28">
        <v>230</v>
      </c>
      <c r="AB137" s="28">
        <v>229</v>
      </c>
      <c r="AC137" s="28">
        <v>225</v>
      </c>
      <c r="AD137" s="28">
        <v>228</v>
      </c>
      <c r="AE137" s="28">
        <v>230</v>
      </c>
      <c r="AF137" s="28">
        <v>227</v>
      </c>
      <c r="AG137" s="28">
        <v>226</v>
      </c>
      <c r="AH137" s="28">
        <v>229</v>
      </c>
      <c r="AI137" s="28">
        <v>228</v>
      </c>
      <c r="AJ137" s="28">
        <v>226</v>
      </c>
      <c r="AK137" s="28">
        <v>226</v>
      </c>
      <c r="AL137" s="28">
        <v>230</v>
      </c>
      <c r="AM137" s="28">
        <v>224</v>
      </c>
      <c r="AN137" s="28">
        <v>229</v>
      </c>
      <c r="AO137" s="28">
        <v>231</v>
      </c>
      <c r="AP137" s="28">
        <v>231</v>
      </c>
      <c r="AQ137" s="28">
        <v>229</v>
      </c>
      <c r="AR137" s="28">
        <v>228</v>
      </c>
      <c r="AS137" s="28">
        <v>228</v>
      </c>
      <c r="AT137" s="28">
        <v>227</v>
      </c>
      <c r="AU137" s="28">
        <v>229</v>
      </c>
      <c r="AV137" s="28">
        <v>229</v>
      </c>
      <c r="AW137" s="28">
        <v>225</v>
      </c>
      <c r="AX137" s="28">
        <v>229</v>
      </c>
      <c r="AY137" s="28">
        <v>225</v>
      </c>
      <c r="AZ137" s="28">
        <v>229</v>
      </c>
      <c r="BA137" s="28">
        <v>226</v>
      </c>
      <c r="BB137" s="28">
        <v>231</v>
      </c>
      <c r="BC137" s="28">
        <v>229</v>
      </c>
      <c r="BD137" s="28">
        <v>232</v>
      </c>
      <c r="BE137" s="28">
        <v>231</v>
      </c>
      <c r="BF137" s="28">
        <v>232</v>
      </c>
      <c r="BG137" s="28">
        <v>225</v>
      </c>
      <c r="BH137" s="28">
        <v>220</v>
      </c>
      <c r="BI137" s="28">
        <v>228</v>
      </c>
      <c r="BJ137" s="28">
        <v>228</v>
      </c>
      <c r="BK137" s="28">
        <v>231</v>
      </c>
      <c r="BL137" s="28">
        <v>228</v>
      </c>
      <c r="BM137" s="28">
        <v>227</v>
      </c>
      <c r="BN137" s="28">
        <v>231</v>
      </c>
      <c r="BO137" s="28">
        <v>228</v>
      </c>
      <c r="BP137" s="28">
        <v>229</v>
      </c>
      <c r="BQ137" s="28">
        <v>228</v>
      </c>
      <c r="BR137" s="28">
        <v>229</v>
      </c>
      <c r="BS137" s="28">
        <v>228</v>
      </c>
      <c r="BT137" s="28">
        <v>228</v>
      </c>
      <c r="BU137" s="28">
        <v>230</v>
      </c>
      <c r="BV137" s="28">
        <v>232</v>
      </c>
      <c r="BW137" s="28">
        <v>229</v>
      </c>
      <c r="BX137" s="28">
        <v>229</v>
      </c>
      <c r="BY137" s="28">
        <v>228</v>
      </c>
      <c r="BZ137" s="28">
        <v>229</v>
      </c>
      <c r="CA137" s="28">
        <v>226</v>
      </c>
      <c r="CB137" s="28">
        <v>224</v>
      </c>
      <c r="CC137" s="28">
        <v>220</v>
      </c>
    </row>
    <row r="138" spans="1:81" x14ac:dyDescent="0.25">
      <c r="A138" s="21" t="s">
        <v>305</v>
      </c>
      <c r="B138" s="22">
        <v>2</v>
      </c>
      <c r="C138" s="21" t="s">
        <v>306</v>
      </c>
      <c r="D138" s="23">
        <v>13651</v>
      </c>
      <c r="E138" s="24">
        <v>59.991154000000002</v>
      </c>
      <c r="F138" s="25">
        <v>0</v>
      </c>
      <c r="G138" s="21" t="s">
        <v>252</v>
      </c>
      <c r="H138" s="26">
        <v>227.55021515338751</v>
      </c>
      <c r="I138" s="24">
        <v>230.07017140227771</v>
      </c>
      <c r="J138" s="24">
        <v>175.4739991401774</v>
      </c>
      <c r="K138" s="24">
        <v>158.1599044081502</v>
      </c>
      <c r="L138" s="24">
        <v>158.11481865395359</v>
      </c>
      <c r="M138" s="24">
        <v>89.847797830475173</v>
      </c>
      <c r="N138" s="24">
        <v>44.339605909582673</v>
      </c>
      <c r="O138" s="24">
        <v>416.96201476045542</v>
      </c>
      <c r="P138" s="27">
        <v>4.3946343857592849</v>
      </c>
      <c r="Q138" s="27">
        <v>0.50657720206713108</v>
      </c>
      <c r="R138" s="24">
        <v>11.527175132217669</v>
      </c>
      <c r="S138" s="24">
        <v>2.9304029304029301E-2</v>
      </c>
      <c r="T138" s="24">
        <v>3.6627353307449997E-2</v>
      </c>
      <c r="U138" s="22"/>
      <c r="V138" s="28">
        <v>227</v>
      </c>
      <c r="W138" s="28">
        <v>231</v>
      </c>
      <c r="X138" s="28">
        <v>228</v>
      </c>
      <c r="Y138" s="28">
        <v>227</v>
      </c>
      <c r="Z138" s="28">
        <v>227</v>
      </c>
      <c r="AA138" s="28">
        <v>226</v>
      </c>
      <c r="AB138" s="28">
        <v>230</v>
      </c>
      <c r="AC138" s="28">
        <v>229</v>
      </c>
      <c r="AD138" s="28">
        <v>229</v>
      </c>
      <c r="AE138" s="28">
        <v>228</v>
      </c>
      <c r="AF138" s="28">
        <v>230</v>
      </c>
      <c r="AG138" s="28">
        <v>232</v>
      </c>
      <c r="AH138" s="28">
        <v>229</v>
      </c>
      <c r="AI138" s="28">
        <v>229</v>
      </c>
      <c r="AJ138" s="28">
        <v>231</v>
      </c>
      <c r="AK138" s="28">
        <v>227</v>
      </c>
      <c r="AL138" s="28">
        <v>228</v>
      </c>
      <c r="AM138" s="28">
        <v>228</v>
      </c>
      <c r="AN138" s="28">
        <v>227</v>
      </c>
      <c r="AO138" s="28">
        <v>231</v>
      </c>
      <c r="AP138" s="28">
        <v>227</v>
      </c>
      <c r="AQ138" s="28">
        <v>231</v>
      </c>
      <c r="AR138" s="28">
        <v>231</v>
      </c>
      <c r="AS138" s="28">
        <v>225</v>
      </c>
      <c r="AT138" s="28">
        <v>224</v>
      </c>
      <c r="AU138" s="28">
        <v>229</v>
      </c>
      <c r="AV138" s="28">
        <v>229</v>
      </c>
      <c r="AW138" s="28">
        <v>229</v>
      </c>
      <c r="AX138" s="28">
        <v>230</v>
      </c>
      <c r="AY138" s="28">
        <v>230</v>
      </c>
      <c r="AZ138" s="28">
        <v>229</v>
      </c>
      <c r="BA138" s="28">
        <v>226</v>
      </c>
      <c r="BB138" s="28">
        <v>228</v>
      </c>
      <c r="BC138" s="28">
        <v>223</v>
      </c>
      <c r="BD138" s="28">
        <v>225</v>
      </c>
      <c r="BE138" s="28">
        <v>224</v>
      </c>
      <c r="BF138" s="28">
        <v>224</v>
      </c>
      <c r="BG138" s="28">
        <v>232</v>
      </c>
      <c r="BH138" s="28">
        <v>230</v>
      </c>
      <c r="BI138" s="28">
        <v>228</v>
      </c>
      <c r="BJ138" s="28">
        <v>228</v>
      </c>
      <c r="BK138" s="28">
        <v>228</v>
      </c>
      <c r="BL138" s="28">
        <v>227</v>
      </c>
      <c r="BM138" s="28">
        <v>224</v>
      </c>
      <c r="BN138" s="28">
        <v>229</v>
      </c>
      <c r="BO138" s="28">
        <v>228</v>
      </c>
      <c r="BP138" s="28">
        <v>228</v>
      </c>
      <c r="BQ138" s="28">
        <v>227</v>
      </c>
      <c r="BR138" s="28">
        <v>227</v>
      </c>
      <c r="BS138" s="28">
        <v>225</v>
      </c>
      <c r="BT138" s="28">
        <v>224</v>
      </c>
      <c r="BU138" s="28">
        <v>226</v>
      </c>
      <c r="BV138" s="28">
        <v>229</v>
      </c>
      <c r="BW138" s="28">
        <v>224</v>
      </c>
      <c r="BX138" s="28">
        <v>228</v>
      </c>
      <c r="BY138" s="28">
        <v>225</v>
      </c>
      <c r="BZ138" s="28">
        <v>225</v>
      </c>
      <c r="CA138" s="28">
        <v>226</v>
      </c>
      <c r="CB138" s="28">
        <v>223</v>
      </c>
      <c r="CC138" s="28">
        <v>222</v>
      </c>
    </row>
    <row r="139" spans="1:81" x14ac:dyDescent="0.25">
      <c r="A139" s="21" t="s">
        <v>305</v>
      </c>
      <c r="B139" s="22">
        <v>3</v>
      </c>
      <c r="C139" s="21" t="s">
        <v>306</v>
      </c>
      <c r="D139" s="23">
        <v>13630</v>
      </c>
      <c r="E139" s="24">
        <v>60.002661000000003</v>
      </c>
      <c r="F139" s="25">
        <v>0</v>
      </c>
      <c r="G139" s="21" t="s">
        <v>252</v>
      </c>
      <c r="H139" s="26">
        <v>227.15659227179941</v>
      </c>
      <c r="I139" s="24">
        <v>229.55787153941509</v>
      </c>
      <c r="J139" s="24">
        <v>177.58935941386989</v>
      </c>
      <c r="K139" s="24">
        <v>161.74399361253549</v>
      </c>
      <c r="L139" s="24">
        <v>160.92531058170189</v>
      </c>
      <c r="M139" s="24">
        <v>92.650356086201882</v>
      </c>
      <c r="N139" s="24">
        <v>42.06505781842197</v>
      </c>
      <c r="O139" s="24">
        <v>434.44261013120172</v>
      </c>
      <c r="P139" s="27">
        <v>4.4022495231107852</v>
      </c>
      <c r="Q139" s="27">
        <v>0.50186707679567499</v>
      </c>
      <c r="R139" s="24">
        <v>11.4002414938315</v>
      </c>
      <c r="S139" s="24">
        <v>2.2011886418666079E-2</v>
      </c>
      <c r="T139" s="24">
        <v>2.201027146001467E-2</v>
      </c>
      <c r="U139" s="22"/>
      <c r="V139" s="28">
        <v>227</v>
      </c>
      <c r="W139" s="28">
        <v>228</v>
      </c>
      <c r="X139" s="28">
        <v>228</v>
      </c>
      <c r="Y139" s="28">
        <v>227</v>
      </c>
      <c r="Z139" s="28">
        <v>226</v>
      </c>
      <c r="AA139" s="28">
        <v>226</v>
      </c>
      <c r="AB139" s="28">
        <v>225</v>
      </c>
      <c r="AC139" s="28">
        <v>226</v>
      </c>
      <c r="AD139" s="28">
        <v>225</v>
      </c>
      <c r="AE139" s="28">
        <v>228</v>
      </c>
      <c r="AF139" s="28">
        <v>229</v>
      </c>
      <c r="AG139" s="28">
        <v>225</v>
      </c>
      <c r="AH139" s="28">
        <v>228</v>
      </c>
      <c r="AI139" s="28">
        <v>229</v>
      </c>
      <c r="AJ139" s="28">
        <v>226</v>
      </c>
      <c r="AK139" s="28">
        <v>227</v>
      </c>
      <c r="AL139" s="28">
        <v>227</v>
      </c>
      <c r="AM139" s="28">
        <v>229</v>
      </c>
      <c r="AN139" s="28">
        <v>224</v>
      </c>
      <c r="AO139" s="28">
        <v>227</v>
      </c>
      <c r="AP139" s="28">
        <v>229</v>
      </c>
      <c r="AQ139" s="28">
        <v>228</v>
      </c>
      <c r="AR139" s="28">
        <v>233</v>
      </c>
      <c r="AS139" s="28">
        <v>228</v>
      </c>
      <c r="AT139" s="28">
        <v>230</v>
      </c>
      <c r="AU139" s="28">
        <v>231</v>
      </c>
      <c r="AV139" s="28">
        <v>226</v>
      </c>
      <c r="AW139" s="28">
        <v>228</v>
      </c>
      <c r="AX139" s="28">
        <v>224</v>
      </c>
      <c r="AY139" s="28">
        <v>225</v>
      </c>
      <c r="AZ139" s="28">
        <v>229</v>
      </c>
      <c r="BA139" s="28">
        <v>224</v>
      </c>
      <c r="BB139" s="28">
        <v>227</v>
      </c>
      <c r="BC139" s="28">
        <v>228</v>
      </c>
      <c r="BD139" s="28">
        <v>227</v>
      </c>
      <c r="BE139" s="28">
        <v>228</v>
      </c>
      <c r="BF139" s="28">
        <v>225</v>
      </c>
      <c r="BG139" s="28">
        <v>228</v>
      </c>
      <c r="BH139" s="28">
        <v>228</v>
      </c>
      <c r="BI139" s="28">
        <v>227</v>
      </c>
      <c r="BJ139" s="28">
        <v>225</v>
      </c>
      <c r="BK139" s="28">
        <v>228</v>
      </c>
      <c r="BL139" s="28">
        <v>227</v>
      </c>
      <c r="BM139" s="28">
        <v>226</v>
      </c>
      <c r="BN139" s="28">
        <v>224</v>
      </c>
      <c r="BO139" s="28">
        <v>226</v>
      </c>
      <c r="BP139" s="28">
        <v>228</v>
      </c>
      <c r="BQ139" s="28">
        <v>227</v>
      </c>
      <c r="BR139" s="28">
        <v>223</v>
      </c>
      <c r="BS139" s="28">
        <v>227</v>
      </c>
      <c r="BT139" s="28">
        <v>226</v>
      </c>
      <c r="BU139" s="28">
        <v>228</v>
      </c>
      <c r="BV139" s="28">
        <v>228</v>
      </c>
      <c r="BW139" s="28">
        <v>228</v>
      </c>
      <c r="BX139" s="28">
        <v>229</v>
      </c>
      <c r="BY139" s="28">
        <v>229</v>
      </c>
      <c r="BZ139" s="28">
        <v>229</v>
      </c>
      <c r="CA139" s="28">
        <v>227</v>
      </c>
      <c r="CB139" s="28">
        <v>227</v>
      </c>
      <c r="CC139" s="28">
        <v>227</v>
      </c>
    </row>
    <row r="140" spans="1:81" x14ac:dyDescent="0.25">
      <c r="A140" s="21" t="s">
        <v>305</v>
      </c>
      <c r="B140" s="22">
        <v>4</v>
      </c>
      <c r="C140" s="21" t="s">
        <v>306</v>
      </c>
      <c r="D140" s="23">
        <v>13604</v>
      </c>
      <c r="E140" s="24">
        <v>59.990630199999998</v>
      </c>
      <c r="F140" s="25">
        <v>0</v>
      </c>
      <c r="G140" s="21" t="s">
        <v>252</v>
      </c>
      <c r="H140" s="26">
        <v>226.76874629665079</v>
      </c>
      <c r="I140" s="24">
        <v>228.92986733514189</v>
      </c>
      <c r="J140" s="24">
        <v>177.33697323382131</v>
      </c>
      <c r="K140" s="24">
        <v>162.09881920087739</v>
      </c>
      <c r="L140" s="24">
        <v>158.563074987286</v>
      </c>
      <c r="M140" s="24">
        <v>78.159927717698849</v>
      </c>
      <c r="N140" s="24">
        <v>36.45829535594234</v>
      </c>
      <c r="O140" s="24">
        <v>389.48393378773119</v>
      </c>
      <c r="P140" s="27">
        <v>4.4097787562481621</v>
      </c>
      <c r="Q140" s="27">
        <v>0.51295717953930053</v>
      </c>
      <c r="R140" s="24">
        <v>11.632265650799321</v>
      </c>
      <c r="S140" s="24">
        <v>2.205395868558406E-2</v>
      </c>
      <c r="T140" s="24">
        <v>2.205233754778007E-2</v>
      </c>
      <c r="U140" s="22"/>
      <c r="V140" s="28">
        <v>228</v>
      </c>
      <c r="W140" s="28">
        <v>229</v>
      </c>
      <c r="X140" s="28">
        <v>229</v>
      </c>
      <c r="Y140" s="28">
        <v>224</v>
      </c>
      <c r="Z140" s="28">
        <v>224</v>
      </c>
      <c r="AA140" s="28">
        <v>227</v>
      </c>
      <c r="AB140" s="28">
        <v>224</v>
      </c>
      <c r="AC140" s="28">
        <v>227</v>
      </c>
      <c r="AD140" s="28">
        <v>230</v>
      </c>
      <c r="AE140" s="28">
        <v>228</v>
      </c>
      <c r="AF140" s="28">
        <v>228</v>
      </c>
      <c r="AG140" s="28">
        <v>229</v>
      </c>
      <c r="AH140" s="28">
        <v>227</v>
      </c>
      <c r="AI140" s="28">
        <v>226</v>
      </c>
      <c r="AJ140" s="28">
        <v>221</v>
      </c>
      <c r="AK140" s="28">
        <v>229</v>
      </c>
      <c r="AL140" s="28">
        <v>226</v>
      </c>
      <c r="AM140" s="28">
        <v>228</v>
      </c>
      <c r="AN140" s="28">
        <v>225</v>
      </c>
      <c r="AO140" s="28">
        <v>226</v>
      </c>
      <c r="AP140" s="28">
        <v>228</v>
      </c>
      <c r="AQ140" s="28">
        <v>227</v>
      </c>
      <c r="AR140" s="28">
        <v>227</v>
      </c>
      <c r="AS140" s="28">
        <v>230</v>
      </c>
      <c r="AT140" s="28">
        <v>221</v>
      </c>
      <c r="AU140" s="28">
        <v>229</v>
      </c>
      <c r="AV140" s="28">
        <v>225</v>
      </c>
      <c r="AW140" s="28">
        <v>226</v>
      </c>
      <c r="AX140" s="28">
        <v>227</v>
      </c>
      <c r="AY140" s="28">
        <v>225</v>
      </c>
      <c r="AZ140" s="28">
        <v>230</v>
      </c>
      <c r="BA140" s="28">
        <v>226</v>
      </c>
      <c r="BB140" s="28">
        <v>224</v>
      </c>
      <c r="BC140" s="28">
        <v>227</v>
      </c>
      <c r="BD140" s="28">
        <v>224</v>
      </c>
      <c r="BE140" s="28">
        <v>227</v>
      </c>
      <c r="BF140" s="28">
        <v>226</v>
      </c>
      <c r="BG140" s="28">
        <v>229</v>
      </c>
      <c r="BH140" s="28">
        <v>230</v>
      </c>
      <c r="BI140" s="28">
        <v>228</v>
      </c>
      <c r="BJ140" s="28">
        <v>227</v>
      </c>
      <c r="BK140" s="28">
        <v>226</v>
      </c>
      <c r="BL140" s="28">
        <v>228</v>
      </c>
      <c r="BM140" s="28">
        <v>227</v>
      </c>
      <c r="BN140" s="28">
        <v>221</v>
      </c>
      <c r="BO140" s="28">
        <v>225</v>
      </c>
      <c r="BP140" s="28">
        <v>228</v>
      </c>
      <c r="BQ140" s="28">
        <v>228</v>
      </c>
      <c r="BR140" s="28">
        <v>226</v>
      </c>
      <c r="BS140" s="28">
        <v>228</v>
      </c>
      <c r="BT140" s="28">
        <v>227</v>
      </c>
      <c r="BU140" s="28">
        <v>228</v>
      </c>
      <c r="BV140" s="28">
        <v>227</v>
      </c>
      <c r="BW140" s="28">
        <v>226</v>
      </c>
      <c r="BX140" s="28">
        <v>227</v>
      </c>
      <c r="BY140" s="28">
        <v>229</v>
      </c>
      <c r="BZ140" s="28">
        <v>229</v>
      </c>
      <c r="CA140" s="28">
        <v>227</v>
      </c>
      <c r="CB140" s="28">
        <v>229</v>
      </c>
      <c r="CC140" s="28">
        <v>220</v>
      </c>
    </row>
    <row r="141" spans="1:81" x14ac:dyDescent="0.25">
      <c r="A141" s="21" t="s">
        <v>305</v>
      </c>
      <c r="B141" s="22">
        <v>5</v>
      </c>
      <c r="C141" s="21" t="s">
        <v>306</v>
      </c>
      <c r="D141" s="23">
        <v>13609</v>
      </c>
      <c r="E141" s="24">
        <v>59.987933699999999</v>
      </c>
      <c r="F141" s="25">
        <v>0</v>
      </c>
      <c r="G141" s="21" t="s">
        <v>252</v>
      </c>
      <c r="H141" s="26">
        <v>226.86228980745841</v>
      </c>
      <c r="I141" s="24">
        <v>228.86961298148441</v>
      </c>
      <c r="J141" s="24">
        <v>177.69652702799709</v>
      </c>
      <c r="K141" s="24">
        <v>155.69327975491549</v>
      </c>
      <c r="L141" s="24">
        <v>159.61821982122419</v>
      </c>
      <c r="M141" s="24">
        <v>93.227054491213352</v>
      </c>
      <c r="N141" s="24">
        <v>43.409937402870263</v>
      </c>
      <c r="O141" s="24">
        <v>398.91495133237589</v>
      </c>
      <c r="P141" s="27">
        <v>4.4079604452935559</v>
      </c>
      <c r="Q141" s="27">
        <v>0.50177830628180198</v>
      </c>
      <c r="R141" s="24">
        <v>11.383457553879779</v>
      </c>
      <c r="S141" s="24">
        <v>1.469723691945914E-2</v>
      </c>
      <c r="T141" s="24">
        <v>2.204423543243442E-2</v>
      </c>
      <c r="U141" s="22"/>
      <c r="V141" s="28">
        <v>230</v>
      </c>
      <c r="W141" s="28">
        <v>230</v>
      </c>
      <c r="X141" s="28">
        <v>229</v>
      </c>
      <c r="Y141" s="28">
        <v>228</v>
      </c>
      <c r="Z141" s="28">
        <v>230</v>
      </c>
      <c r="AA141" s="28">
        <v>226</v>
      </c>
      <c r="AB141" s="28">
        <v>230</v>
      </c>
      <c r="AC141" s="28">
        <v>228</v>
      </c>
      <c r="AD141" s="28">
        <v>230</v>
      </c>
      <c r="AE141" s="28">
        <v>225</v>
      </c>
      <c r="AF141" s="28">
        <v>229</v>
      </c>
      <c r="AG141" s="28">
        <v>228</v>
      </c>
      <c r="AH141" s="28">
        <v>229</v>
      </c>
      <c r="AI141" s="28">
        <v>227</v>
      </c>
      <c r="AJ141" s="28">
        <v>227</v>
      </c>
      <c r="AK141" s="28">
        <v>229</v>
      </c>
      <c r="AL141" s="28">
        <v>227</v>
      </c>
      <c r="AM141" s="28">
        <v>225</v>
      </c>
      <c r="AN141" s="28">
        <v>225</v>
      </c>
      <c r="AO141" s="28">
        <v>223</v>
      </c>
      <c r="AP141" s="28">
        <v>229</v>
      </c>
      <c r="AQ141" s="28">
        <v>225</v>
      </c>
      <c r="AR141" s="28">
        <v>226</v>
      </c>
      <c r="AS141" s="28">
        <v>222</v>
      </c>
      <c r="AT141" s="28">
        <v>216</v>
      </c>
      <c r="AU141" s="28">
        <v>220</v>
      </c>
      <c r="AV141" s="28">
        <v>228</v>
      </c>
      <c r="AW141" s="28">
        <v>229</v>
      </c>
      <c r="AX141" s="28">
        <v>224</v>
      </c>
      <c r="AY141" s="28">
        <v>224</v>
      </c>
      <c r="AZ141" s="28">
        <v>226</v>
      </c>
      <c r="BA141" s="28">
        <v>227</v>
      </c>
      <c r="BB141" s="28">
        <v>226</v>
      </c>
      <c r="BC141" s="28">
        <v>227</v>
      </c>
      <c r="BD141" s="28">
        <v>226</v>
      </c>
      <c r="BE141" s="28">
        <v>226</v>
      </c>
      <c r="BF141" s="28">
        <v>228</v>
      </c>
      <c r="BG141" s="28">
        <v>227</v>
      </c>
      <c r="BH141" s="28">
        <v>230</v>
      </c>
      <c r="BI141" s="28">
        <v>228</v>
      </c>
      <c r="BJ141" s="28">
        <v>225</v>
      </c>
      <c r="BK141" s="28">
        <v>232</v>
      </c>
      <c r="BL141" s="28">
        <v>228</v>
      </c>
      <c r="BM141" s="28">
        <v>227</v>
      </c>
      <c r="BN141" s="28">
        <v>229</v>
      </c>
      <c r="BO141" s="28">
        <v>224</v>
      </c>
      <c r="BP141" s="28">
        <v>229</v>
      </c>
      <c r="BQ141" s="28">
        <v>228</v>
      </c>
      <c r="BR141" s="28">
        <v>228</v>
      </c>
      <c r="BS141" s="28">
        <v>226</v>
      </c>
      <c r="BT141" s="28">
        <v>226</v>
      </c>
      <c r="BU141" s="28">
        <v>227</v>
      </c>
      <c r="BV141" s="28">
        <v>222</v>
      </c>
      <c r="BW141" s="28">
        <v>227</v>
      </c>
      <c r="BX141" s="28">
        <v>231</v>
      </c>
      <c r="BY141" s="28">
        <v>228</v>
      </c>
      <c r="BZ141" s="28">
        <v>229</v>
      </c>
      <c r="CA141" s="28">
        <v>227</v>
      </c>
      <c r="CB141" s="28">
        <v>228</v>
      </c>
      <c r="CC141" s="28">
        <v>219</v>
      </c>
    </row>
    <row r="142" spans="1:81" x14ac:dyDescent="0.25">
      <c r="A142" s="13" t="s">
        <v>307</v>
      </c>
      <c r="B142" s="14">
        <v>1</v>
      </c>
      <c r="C142" s="13" t="s">
        <v>308</v>
      </c>
      <c r="D142" s="15">
        <v>13602</v>
      </c>
      <c r="E142" s="16">
        <v>59.995026900000013</v>
      </c>
      <c r="F142" s="17">
        <v>0</v>
      </c>
      <c r="G142" s="13" t="s">
        <v>252</v>
      </c>
      <c r="H142" s="18">
        <v>226.7187915870407</v>
      </c>
      <c r="I142" s="16">
        <v>228.9062857666072</v>
      </c>
      <c r="J142" s="16">
        <v>177.80053624641729</v>
      </c>
      <c r="K142" s="16">
        <v>160.20681033062829</v>
      </c>
      <c r="L142" s="16">
        <v>160.01109410252451</v>
      </c>
      <c r="M142" s="16">
        <v>92.150752487686376</v>
      </c>
      <c r="N142" s="16">
        <v>37.128620968759982</v>
      </c>
      <c r="O142" s="16">
        <v>367.44442403086538</v>
      </c>
      <c r="P142" s="19">
        <v>4.4107503970004416</v>
      </c>
      <c r="Q142" s="19">
        <v>0.48705901897291642</v>
      </c>
      <c r="R142" s="16">
        <v>11.042543221310909</v>
      </c>
      <c r="S142" s="16">
        <v>1.470480111756488E-2</v>
      </c>
      <c r="T142" s="16">
        <v>1.4703720041170419E-2</v>
      </c>
      <c r="U142" s="14"/>
      <c r="V142" s="20">
        <v>229</v>
      </c>
      <c r="W142" s="20">
        <v>228</v>
      </c>
      <c r="X142" s="20">
        <v>230</v>
      </c>
      <c r="Y142" s="20">
        <v>228</v>
      </c>
      <c r="Z142" s="20">
        <v>225</v>
      </c>
      <c r="AA142" s="20">
        <v>226</v>
      </c>
      <c r="AB142" s="20">
        <v>229</v>
      </c>
      <c r="AC142" s="20">
        <v>228</v>
      </c>
      <c r="AD142" s="20">
        <v>227</v>
      </c>
      <c r="AE142" s="20">
        <v>225</v>
      </c>
      <c r="AF142" s="20">
        <v>225</v>
      </c>
      <c r="AG142" s="20">
        <v>226</v>
      </c>
      <c r="AH142" s="20">
        <v>226</v>
      </c>
      <c r="AI142" s="20">
        <v>228</v>
      </c>
      <c r="AJ142" s="20">
        <v>229</v>
      </c>
      <c r="AK142" s="20">
        <v>229</v>
      </c>
      <c r="AL142" s="20">
        <v>228</v>
      </c>
      <c r="AM142" s="20">
        <v>227</v>
      </c>
      <c r="AN142" s="20">
        <v>230</v>
      </c>
      <c r="AO142" s="20">
        <v>226</v>
      </c>
      <c r="AP142" s="20">
        <v>226</v>
      </c>
      <c r="AQ142" s="20">
        <v>228</v>
      </c>
      <c r="AR142" s="20">
        <v>228</v>
      </c>
      <c r="AS142" s="20">
        <v>227</v>
      </c>
      <c r="AT142" s="20">
        <v>229</v>
      </c>
      <c r="AU142" s="20">
        <v>229</v>
      </c>
      <c r="AV142" s="20">
        <v>229</v>
      </c>
      <c r="AW142" s="20">
        <v>229</v>
      </c>
      <c r="AX142" s="20">
        <v>228</v>
      </c>
      <c r="AY142" s="20">
        <v>227</v>
      </c>
      <c r="AZ142" s="20">
        <v>230</v>
      </c>
      <c r="BA142" s="20">
        <v>228</v>
      </c>
      <c r="BB142" s="20">
        <v>229</v>
      </c>
      <c r="BC142" s="20">
        <v>230</v>
      </c>
      <c r="BD142" s="20">
        <v>228</v>
      </c>
      <c r="BE142" s="20">
        <v>227</v>
      </c>
      <c r="BF142" s="20">
        <v>226</v>
      </c>
      <c r="BG142" s="20">
        <v>223</v>
      </c>
      <c r="BH142" s="20">
        <v>220</v>
      </c>
      <c r="BI142" s="20">
        <v>217</v>
      </c>
      <c r="BJ142" s="20">
        <v>219</v>
      </c>
      <c r="BK142" s="20">
        <v>220</v>
      </c>
      <c r="BL142" s="20">
        <v>219</v>
      </c>
      <c r="BM142" s="20">
        <v>221</v>
      </c>
      <c r="BN142" s="20">
        <v>228</v>
      </c>
      <c r="BO142" s="20">
        <v>229</v>
      </c>
      <c r="BP142" s="20">
        <v>224</v>
      </c>
      <c r="BQ142" s="20">
        <v>228</v>
      </c>
      <c r="BR142" s="20">
        <v>226</v>
      </c>
      <c r="BS142" s="20">
        <v>226</v>
      </c>
      <c r="BT142" s="20">
        <v>226</v>
      </c>
      <c r="BU142" s="20">
        <v>230</v>
      </c>
      <c r="BV142" s="20">
        <v>230</v>
      </c>
      <c r="BW142" s="20">
        <v>229</v>
      </c>
      <c r="BX142" s="20">
        <v>226</v>
      </c>
      <c r="BY142" s="20">
        <v>227</v>
      </c>
      <c r="BZ142" s="20">
        <v>228</v>
      </c>
      <c r="CA142" s="20">
        <v>227</v>
      </c>
      <c r="CB142" s="20">
        <v>228</v>
      </c>
      <c r="CC142" s="20">
        <v>224</v>
      </c>
    </row>
    <row r="143" spans="1:81" x14ac:dyDescent="0.25">
      <c r="A143" s="13" t="s">
        <v>307</v>
      </c>
      <c r="B143" s="14">
        <v>2</v>
      </c>
      <c r="C143" s="13" t="s">
        <v>308</v>
      </c>
      <c r="D143" s="15">
        <v>13652</v>
      </c>
      <c r="E143" s="16">
        <v>60.003172699999993</v>
      </c>
      <c r="F143" s="17">
        <v>0</v>
      </c>
      <c r="G143" s="13" t="s">
        <v>252</v>
      </c>
      <c r="H143" s="18">
        <v>227.52130238606529</v>
      </c>
      <c r="I143" s="16">
        <v>229.54996728912971</v>
      </c>
      <c r="J143" s="16">
        <v>178.4821556218042</v>
      </c>
      <c r="K143" s="16">
        <v>160.54752099054349</v>
      </c>
      <c r="L143" s="16">
        <v>161.09860613167871</v>
      </c>
      <c r="M143" s="16">
        <v>97.950228224031761</v>
      </c>
      <c r="N143" s="16">
        <v>43.817177209809792</v>
      </c>
      <c r="O143" s="16">
        <v>371.56764388957009</v>
      </c>
      <c r="P143" s="19">
        <v>4.3951928435394079</v>
      </c>
      <c r="Q143" s="19">
        <v>0.46900845481886999</v>
      </c>
      <c r="R143" s="16">
        <v>10.670941447046539</v>
      </c>
      <c r="S143" s="16">
        <v>2.197641198447E-2</v>
      </c>
      <c r="T143" s="16">
        <v>2.1974802226779961E-2</v>
      </c>
      <c r="U143" s="14"/>
      <c r="V143" s="20">
        <v>230</v>
      </c>
      <c r="W143" s="20">
        <v>227</v>
      </c>
      <c r="X143" s="20">
        <v>231</v>
      </c>
      <c r="Y143" s="20">
        <v>231</v>
      </c>
      <c r="Z143" s="20">
        <v>225</v>
      </c>
      <c r="AA143" s="20">
        <v>225</v>
      </c>
      <c r="AB143" s="20">
        <v>228</v>
      </c>
      <c r="AC143" s="20">
        <v>227</v>
      </c>
      <c r="AD143" s="20">
        <v>227</v>
      </c>
      <c r="AE143" s="20">
        <v>229</v>
      </c>
      <c r="AF143" s="20">
        <v>228</v>
      </c>
      <c r="AG143" s="20">
        <v>229</v>
      </c>
      <c r="AH143" s="20">
        <v>228</v>
      </c>
      <c r="AI143" s="20">
        <v>228</v>
      </c>
      <c r="AJ143" s="20">
        <v>223</v>
      </c>
      <c r="AK143" s="20">
        <v>223</v>
      </c>
      <c r="AL143" s="20">
        <v>226</v>
      </c>
      <c r="AM143" s="20">
        <v>230</v>
      </c>
      <c r="AN143" s="20">
        <v>230</v>
      </c>
      <c r="AO143" s="20">
        <v>227</v>
      </c>
      <c r="AP143" s="20">
        <v>229</v>
      </c>
      <c r="AQ143" s="20">
        <v>227</v>
      </c>
      <c r="AR143" s="20">
        <v>228</v>
      </c>
      <c r="AS143" s="20">
        <v>229</v>
      </c>
      <c r="AT143" s="20">
        <v>226</v>
      </c>
      <c r="AU143" s="20">
        <v>226</v>
      </c>
      <c r="AV143" s="20">
        <v>227</v>
      </c>
      <c r="AW143" s="20">
        <v>228</v>
      </c>
      <c r="AX143" s="20">
        <v>228</v>
      </c>
      <c r="AY143" s="20">
        <v>229</v>
      </c>
      <c r="AZ143" s="20">
        <v>229</v>
      </c>
      <c r="BA143" s="20">
        <v>230</v>
      </c>
      <c r="BB143" s="20">
        <v>225</v>
      </c>
      <c r="BC143" s="20">
        <v>231</v>
      </c>
      <c r="BD143" s="20">
        <v>226</v>
      </c>
      <c r="BE143" s="20">
        <v>227</v>
      </c>
      <c r="BF143" s="20">
        <v>229</v>
      </c>
      <c r="BG143" s="20">
        <v>227</v>
      </c>
      <c r="BH143" s="20">
        <v>227</v>
      </c>
      <c r="BI143" s="20">
        <v>227</v>
      </c>
      <c r="BJ143" s="20">
        <v>230</v>
      </c>
      <c r="BK143" s="20">
        <v>228</v>
      </c>
      <c r="BL143" s="20">
        <v>228</v>
      </c>
      <c r="BM143" s="20">
        <v>225</v>
      </c>
      <c r="BN143" s="20">
        <v>226</v>
      </c>
      <c r="BO143" s="20">
        <v>223</v>
      </c>
      <c r="BP143" s="20">
        <v>229</v>
      </c>
      <c r="BQ143" s="20">
        <v>230</v>
      </c>
      <c r="BR143" s="20">
        <v>229</v>
      </c>
      <c r="BS143" s="20">
        <v>226</v>
      </c>
      <c r="BT143" s="20">
        <v>226</v>
      </c>
      <c r="BU143" s="20">
        <v>225</v>
      </c>
      <c r="BV143" s="20">
        <v>227</v>
      </c>
      <c r="BW143" s="20">
        <v>227</v>
      </c>
      <c r="BX143" s="20">
        <v>228</v>
      </c>
      <c r="BY143" s="20">
        <v>226</v>
      </c>
      <c r="BZ143" s="20">
        <v>227</v>
      </c>
      <c r="CA143" s="20">
        <v>228</v>
      </c>
      <c r="CB143" s="20">
        <v>229</v>
      </c>
      <c r="CC143" s="20">
        <v>227</v>
      </c>
    </row>
    <row r="144" spans="1:81" x14ac:dyDescent="0.25">
      <c r="A144" s="13" t="s">
        <v>307</v>
      </c>
      <c r="B144" s="14">
        <v>3</v>
      </c>
      <c r="C144" s="13" t="s">
        <v>308</v>
      </c>
      <c r="D144" s="15">
        <v>13673</v>
      </c>
      <c r="E144" s="16">
        <v>59.992711300000003</v>
      </c>
      <c r="F144" s="17">
        <v>0</v>
      </c>
      <c r="G144" s="13" t="s">
        <v>252</v>
      </c>
      <c r="H144" s="18">
        <v>227.91101958414069</v>
      </c>
      <c r="I144" s="16">
        <v>230.0542928131039</v>
      </c>
      <c r="J144" s="16">
        <v>178.75017875017869</v>
      </c>
      <c r="K144" s="16">
        <v>160.2225786426884</v>
      </c>
      <c r="L144" s="16">
        <v>161.55691566862251</v>
      </c>
      <c r="M144" s="16">
        <v>98.591132713523749</v>
      </c>
      <c r="N144" s="16">
        <v>42.209587485701498</v>
      </c>
      <c r="O144" s="16">
        <v>409.13182227313638</v>
      </c>
      <c r="P144" s="19">
        <v>4.3876772690704309</v>
      </c>
      <c r="Q144" s="19">
        <v>0.46694325825242022</v>
      </c>
      <c r="R144" s="16">
        <v>10.642151407624979</v>
      </c>
      <c r="S144" s="16">
        <v>2.1942656524283208E-2</v>
      </c>
      <c r="T144" s="16">
        <v>1.4627367805163461E-2</v>
      </c>
      <c r="U144" s="14"/>
      <c r="V144" s="20">
        <v>226</v>
      </c>
      <c r="W144" s="20">
        <v>231</v>
      </c>
      <c r="X144" s="20">
        <v>229</v>
      </c>
      <c r="Y144" s="20">
        <v>230</v>
      </c>
      <c r="Z144" s="20">
        <v>230</v>
      </c>
      <c r="AA144" s="20">
        <v>230</v>
      </c>
      <c r="AB144" s="20">
        <v>228</v>
      </c>
      <c r="AC144" s="20">
        <v>229</v>
      </c>
      <c r="AD144" s="20">
        <v>228</v>
      </c>
      <c r="AE144" s="20">
        <v>230</v>
      </c>
      <c r="AF144" s="20">
        <v>224</v>
      </c>
      <c r="AG144" s="20">
        <v>227</v>
      </c>
      <c r="AH144" s="20">
        <v>229</v>
      </c>
      <c r="AI144" s="20">
        <v>224</v>
      </c>
      <c r="AJ144" s="20">
        <v>230</v>
      </c>
      <c r="AK144" s="20">
        <v>228</v>
      </c>
      <c r="AL144" s="20">
        <v>231</v>
      </c>
      <c r="AM144" s="20">
        <v>230</v>
      </c>
      <c r="AN144" s="20">
        <v>226</v>
      </c>
      <c r="AO144" s="20">
        <v>228</v>
      </c>
      <c r="AP144" s="20">
        <v>226</v>
      </c>
      <c r="AQ144" s="20">
        <v>230</v>
      </c>
      <c r="AR144" s="20">
        <v>229</v>
      </c>
      <c r="AS144" s="20">
        <v>227</v>
      </c>
      <c r="AT144" s="20">
        <v>227</v>
      </c>
      <c r="AU144" s="20">
        <v>228</v>
      </c>
      <c r="AV144" s="20">
        <v>226</v>
      </c>
      <c r="AW144" s="20">
        <v>227</v>
      </c>
      <c r="AX144" s="20">
        <v>229</v>
      </c>
      <c r="AY144" s="20">
        <v>227</v>
      </c>
      <c r="AZ144" s="20">
        <v>226</v>
      </c>
      <c r="BA144" s="20">
        <v>228</v>
      </c>
      <c r="BB144" s="20">
        <v>229</v>
      </c>
      <c r="BC144" s="20">
        <v>231</v>
      </c>
      <c r="BD144" s="20">
        <v>228</v>
      </c>
      <c r="BE144" s="20">
        <v>227</v>
      </c>
      <c r="BF144" s="20">
        <v>224</v>
      </c>
      <c r="BG144" s="20">
        <v>228</v>
      </c>
      <c r="BH144" s="20">
        <v>227</v>
      </c>
      <c r="BI144" s="20">
        <v>229</v>
      </c>
      <c r="BJ144" s="20">
        <v>225</v>
      </c>
      <c r="BK144" s="20">
        <v>230</v>
      </c>
      <c r="BL144" s="20">
        <v>228</v>
      </c>
      <c r="BM144" s="20">
        <v>227</v>
      </c>
      <c r="BN144" s="20">
        <v>228</v>
      </c>
      <c r="BO144" s="20">
        <v>227</v>
      </c>
      <c r="BP144" s="20">
        <v>229</v>
      </c>
      <c r="BQ144" s="20">
        <v>229</v>
      </c>
      <c r="BR144" s="20">
        <v>229</v>
      </c>
      <c r="BS144" s="20">
        <v>227</v>
      </c>
      <c r="BT144" s="20">
        <v>224</v>
      </c>
      <c r="BU144" s="20">
        <v>227</v>
      </c>
      <c r="BV144" s="20">
        <v>227</v>
      </c>
      <c r="BW144" s="20">
        <v>228</v>
      </c>
      <c r="BX144" s="20">
        <v>229</v>
      </c>
      <c r="BY144" s="20">
        <v>229</v>
      </c>
      <c r="BZ144" s="20">
        <v>228</v>
      </c>
      <c r="CA144" s="20">
        <v>229</v>
      </c>
      <c r="CB144" s="20">
        <v>228</v>
      </c>
      <c r="CC144" s="20">
        <v>224</v>
      </c>
    </row>
    <row r="145" spans="1:81" x14ac:dyDescent="0.25">
      <c r="A145" s="13" t="s">
        <v>307</v>
      </c>
      <c r="B145" s="14">
        <v>4</v>
      </c>
      <c r="C145" s="13" t="s">
        <v>308</v>
      </c>
      <c r="D145" s="15">
        <v>13601</v>
      </c>
      <c r="E145" s="16">
        <v>59.982206300000001</v>
      </c>
      <c r="F145" s="17">
        <v>0</v>
      </c>
      <c r="G145" s="13" t="s">
        <v>252</v>
      </c>
      <c r="H145" s="18">
        <v>226.75057886291859</v>
      </c>
      <c r="I145" s="16">
        <v>228.73350259612519</v>
      </c>
      <c r="J145" s="16">
        <v>178.2499420687688</v>
      </c>
      <c r="K145" s="16">
        <v>158.93601871630551</v>
      </c>
      <c r="L145" s="16">
        <v>160.938473719245</v>
      </c>
      <c r="M145" s="16">
        <v>98.721230987936266</v>
      </c>
      <c r="N145" s="16">
        <v>42.065234766075228</v>
      </c>
      <c r="O145" s="16">
        <v>337.04078193461407</v>
      </c>
      <c r="P145" s="19">
        <v>4.4101320711712368</v>
      </c>
      <c r="Q145" s="19">
        <v>0.47307586650857059</v>
      </c>
      <c r="R145" s="16">
        <v>10.72702265768952</v>
      </c>
      <c r="S145" s="16">
        <v>7.3529411764705881E-3</v>
      </c>
      <c r="T145" s="16">
        <v>7.3524005587824416E-3</v>
      </c>
      <c r="U145" s="14"/>
      <c r="V145" s="20">
        <v>226</v>
      </c>
      <c r="W145" s="20">
        <v>227</v>
      </c>
      <c r="X145" s="20">
        <v>228</v>
      </c>
      <c r="Y145" s="20">
        <v>230</v>
      </c>
      <c r="Z145" s="20">
        <v>231</v>
      </c>
      <c r="AA145" s="20">
        <v>222</v>
      </c>
      <c r="AB145" s="20">
        <v>225</v>
      </c>
      <c r="AC145" s="20">
        <v>228</v>
      </c>
      <c r="AD145" s="20">
        <v>229</v>
      </c>
      <c r="AE145" s="20">
        <v>228</v>
      </c>
      <c r="AF145" s="20">
        <v>228</v>
      </c>
      <c r="AG145" s="20">
        <v>225</v>
      </c>
      <c r="AH145" s="20">
        <v>227</v>
      </c>
      <c r="AI145" s="20">
        <v>226</v>
      </c>
      <c r="AJ145" s="20">
        <v>223</v>
      </c>
      <c r="AK145" s="20">
        <v>228</v>
      </c>
      <c r="AL145" s="20">
        <v>225</v>
      </c>
      <c r="AM145" s="20">
        <v>227</v>
      </c>
      <c r="AN145" s="20">
        <v>231</v>
      </c>
      <c r="AO145" s="20">
        <v>226</v>
      </c>
      <c r="AP145" s="20">
        <v>228</v>
      </c>
      <c r="AQ145" s="20">
        <v>226</v>
      </c>
      <c r="AR145" s="20">
        <v>226</v>
      </c>
      <c r="AS145" s="20">
        <v>225</v>
      </c>
      <c r="AT145" s="20">
        <v>226</v>
      </c>
      <c r="AU145" s="20">
        <v>228</v>
      </c>
      <c r="AV145" s="20">
        <v>223</v>
      </c>
      <c r="AW145" s="20">
        <v>224</v>
      </c>
      <c r="AX145" s="20">
        <v>226</v>
      </c>
      <c r="AY145" s="20">
        <v>224</v>
      </c>
      <c r="AZ145" s="20">
        <v>229</v>
      </c>
      <c r="BA145" s="20">
        <v>227</v>
      </c>
      <c r="BB145" s="20">
        <v>229</v>
      </c>
      <c r="BC145" s="20">
        <v>229</v>
      </c>
      <c r="BD145" s="20">
        <v>228</v>
      </c>
      <c r="BE145" s="20">
        <v>228</v>
      </c>
      <c r="BF145" s="20">
        <v>225</v>
      </c>
      <c r="BG145" s="20">
        <v>228</v>
      </c>
      <c r="BH145" s="20">
        <v>226</v>
      </c>
      <c r="BI145" s="20">
        <v>228</v>
      </c>
      <c r="BJ145" s="20">
        <v>226</v>
      </c>
      <c r="BK145" s="20">
        <v>229</v>
      </c>
      <c r="BL145" s="20">
        <v>226</v>
      </c>
      <c r="BM145" s="20">
        <v>227</v>
      </c>
      <c r="BN145" s="20">
        <v>226</v>
      </c>
      <c r="BO145" s="20">
        <v>226</v>
      </c>
      <c r="BP145" s="20">
        <v>224</v>
      </c>
      <c r="BQ145" s="20">
        <v>228</v>
      </c>
      <c r="BR145" s="20">
        <v>228</v>
      </c>
      <c r="BS145" s="20">
        <v>230</v>
      </c>
      <c r="BT145" s="20">
        <v>224</v>
      </c>
      <c r="BU145" s="20">
        <v>226</v>
      </c>
      <c r="BV145" s="20">
        <v>226</v>
      </c>
      <c r="BW145" s="20">
        <v>226</v>
      </c>
      <c r="BX145" s="20">
        <v>226</v>
      </c>
      <c r="BY145" s="20">
        <v>225</v>
      </c>
      <c r="BZ145" s="20">
        <v>225</v>
      </c>
      <c r="CA145" s="20">
        <v>229</v>
      </c>
      <c r="CB145" s="20">
        <v>229</v>
      </c>
      <c r="CC145" s="20">
        <v>222</v>
      </c>
    </row>
    <row r="146" spans="1:81" x14ac:dyDescent="0.25">
      <c r="A146" s="13" t="s">
        <v>307</v>
      </c>
      <c r="B146" s="14">
        <v>5</v>
      </c>
      <c r="C146" s="13" t="s">
        <v>308</v>
      </c>
      <c r="D146" s="15">
        <v>13555</v>
      </c>
      <c r="E146" s="16">
        <v>59.997676800000001</v>
      </c>
      <c r="F146" s="17">
        <v>0</v>
      </c>
      <c r="G146" s="13" t="s">
        <v>252</v>
      </c>
      <c r="H146" s="18">
        <v>225.92541449871609</v>
      </c>
      <c r="I146" s="16">
        <v>227.92022792022789</v>
      </c>
      <c r="J146" s="16">
        <v>176.04722572458411</v>
      </c>
      <c r="K146" s="16">
        <v>156.03532951930899</v>
      </c>
      <c r="L146" s="16">
        <v>157.25219826158519</v>
      </c>
      <c r="M146" s="16">
        <v>82.059900444928772</v>
      </c>
      <c r="N146" s="16">
        <v>38.990611060856537</v>
      </c>
      <c r="O146" s="16">
        <v>490.86982132338511</v>
      </c>
      <c r="P146" s="19">
        <v>4.4262395278495017</v>
      </c>
      <c r="Q146" s="19">
        <v>0.49964934443930392</v>
      </c>
      <c r="R146" s="16">
        <v>11.28834852464615</v>
      </c>
      <c r="S146" s="16">
        <v>1.475579164822193E-2</v>
      </c>
      <c r="T146" s="16">
        <v>1.475470306160089E-2</v>
      </c>
      <c r="U146" s="14"/>
      <c r="V146" s="20">
        <v>227</v>
      </c>
      <c r="W146" s="20">
        <v>225</v>
      </c>
      <c r="X146" s="20">
        <v>230</v>
      </c>
      <c r="Y146" s="20">
        <v>230</v>
      </c>
      <c r="Z146" s="20">
        <v>228</v>
      </c>
      <c r="AA146" s="20">
        <v>228</v>
      </c>
      <c r="AB146" s="20">
        <v>226</v>
      </c>
      <c r="AC146" s="20">
        <v>227</v>
      </c>
      <c r="AD146" s="20">
        <v>226</v>
      </c>
      <c r="AE146" s="20">
        <v>227</v>
      </c>
      <c r="AF146" s="20">
        <v>229</v>
      </c>
      <c r="AG146" s="20">
        <v>221</v>
      </c>
      <c r="AH146" s="20">
        <v>226</v>
      </c>
      <c r="AI146" s="20">
        <v>226</v>
      </c>
      <c r="AJ146" s="20">
        <v>225</v>
      </c>
      <c r="AK146" s="20">
        <v>227</v>
      </c>
      <c r="AL146" s="20">
        <v>226</v>
      </c>
      <c r="AM146" s="20">
        <v>231</v>
      </c>
      <c r="AN146" s="20">
        <v>227</v>
      </c>
      <c r="AO146" s="20">
        <v>228</v>
      </c>
      <c r="AP146" s="20">
        <v>228</v>
      </c>
      <c r="AQ146" s="20">
        <v>226</v>
      </c>
      <c r="AR146" s="20">
        <v>225</v>
      </c>
      <c r="AS146" s="20">
        <v>229</v>
      </c>
      <c r="AT146" s="20">
        <v>228</v>
      </c>
      <c r="AU146" s="20">
        <v>228</v>
      </c>
      <c r="AV146" s="20">
        <v>229</v>
      </c>
      <c r="AW146" s="20">
        <v>229</v>
      </c>
      <c r="AX146" s="20">
        <v>227</v>
      </c>
      <c r="AY146" s="20">
        <v>225</v>
      </c>
      <c r="AZ146" s="20">
        <v>223</v>
      </c>
      <c r="BA146" s="20">
        <v>222</v>
      </c>
      <c r="BB146" s="20">
        <v>226</v>
      </c>
      <c r="BC146" s="20">
        <v>231</v>
      </c>
      <c r="BD146" s="20">
        <v>228</v>
      </c>
      <c r="BE146" s="20">
        <v>229</v>
      </c>
      <c r="BF146" s="20">
        <v>226</v>
      </c>
      <c r="BG146" s="20">
        <v>226</v>
      </c>
      <c r="BH146" s="20">
        <v>228</v>
      </c>
      <c r="BI146" s="20">
        <v>225</v>
      </c>
      <c r="BJ146" s="20">
        <v>225</v>
      </c>
      <c r="BK146" s="20">
        <v>226</v>
      </c>
      <c r="BL146" s="20">
        <v>224</v>
      </c>
      <c r="BM146" s="20">
        <v>226</v>
      </c>
      <c r="BN146" s="20">
        <v>225</v>
      </c>
      <c r="BO146" s="20">
        <v>218</v>
      </c>
      <c r="BP146" s="20">
        <v>220</v>
      </c>
      <c r="BQ146" s="20">
        <v>220</v>
      </c>
      <c r="BR146" s="20">
        <v>224</v>
      </c>
      <c r="BS146" s="20">
        <v>221</v>
      </c>
      <c r="BT146" s="20">
        <v>219</v>
      </c>
      <c r="BU146" s="20">
        <v>218</v>
      </c>
      <c r="BV146" s="20">
        <v>225</v>
      </c>
      <c r="BW146" s="20">
        <v>220</v>
      </c>
      <c r="BX146" s="20">
        <v>228</v>
      </c>
      <c r="BY146" s="20">
        <v>229</v>
      </c>
      <c r="BZ146" s="20">
        <v>229</v>
      </c>
      <c r="CA146" s="20">
        <v>230</v>
      </c>
      <c r="CB146" s="20">
        <v>224</v>
      </c>
      <c r="CC146" s="20">
        <v>226</v>
      </c>
    </row>
    <row r="147" spans="1:81" x14ac:dyDescent="0.25">
      <c r="A147" s="21" t="s">
        <v>309</v>
      </c>
      <c r="B147" s="22">
        <v>1</v>
      </c>
      <c r="C147" s="21" t="s">
        <v>310</v>
      </c>
      <c r="D147" s="23">
        <v>13647</v>
      </c>
      <c r="E147" s="24">
        <v>59.998806999999999</v>
      </c>
      <c r="F147" s="25">
        <v>0</v>
      </c>
      <c r="G147" s="21" t="s">
        <v>252</v>
      </c>
      <c r="H147" s="26">
        <v>227.45452255409009</v>
      </c>
      <c r="I147" s="24">
        <v>229.78469174383599</v>
      </c>
      <c r="J147" s="24">
        <v>177.56129504685671</v>
      </c>
      <c r="K147" s="24">
        <v>157.5765781199745</v>
      </c>
      <c r="L147" s="24">
        <v>158.03630409977779</v>
      </c>
      <c r="M147" s="24">
        <v>95.176608127765078</v>
      </c>
      <c r="N147" s="24">
        <v>40.285706228573041</v>
      </c>
      <c r="O147" s="24">
        <v>447.56747079622249</v>
      </c>
      <c r="P147" s="27">
        <v>4.3964832563933456</v>
      </c>
      <c r="Q147" s="27">
        <v>0.47831368277492819</v>
      </c>
      <c r="R147" s="24">
        <v>10.879461034665979</v>
      </c>
      <c r="S147" s="24">
        <v>7.328154770628756E-3</v>
      </c>
      <c r="T147" s="24">
        <v>1.4655235582912001E-2</v>
      </c>
      <c r="U147" s="22"/>
      <c r="V147" s="28">
        <v>226</v>
      </c>
      <c r="W147" s="28">
        <v>230</v>
      </c>
      <c r="X147" s="28">
        <v>229</v>
      </c>
      <c r="Y147" s="28">
        <v>229</v>
      </c>
      <c r="Z147" s="28">
        <v>228</v>
      </c>
      <c r="AA147" s="28">
        <v>228</v>
      </c>
      <c r="AB147" s="28">
        <v>227</v>
      </c>
      <c r="AC147" s="28">
        <v>227</v>
      </c>
      <c r="AD147" s="28">
        <v>216</v>
      </c>
      <c r="AE147" s="28">
        <v>228</v>
      </c>
      <c r="AF147" s="28">
        <v>229</v>
      </c>
      <c r="AG147" s="28">
        <v>228</v>
      </c>
      <c r="AH147" s="28">
        <v>229</v>
      </c>
      <c r="AI147" s="28">
        <v>229</v>
      </c>
      <c r="AJ147" s="28">
        <v>228</v>
      </c>
      <c r="AK147" s="28">
        <v>229</v>
      </c>
      <c r="AL147" s="28">
        <v>228</v>
      </c>
      <c r="AM147" s="28">
        <v>230</v>
      </c>
      <c r="AN147" s="28">
        <v>225</v>
      </c>
      <c r="AO147" s="28">
        <v>229</v>
      </c>
      <c r="AP147" s="28">
        <v>229</v>
      </c>
      <c r="AQ147" s="28">
        <v>228</v>
      </c>
      <c r="AR147" s="28">
        <v>228</v>
      </c>
      <c r="AS147" s="28">
        <v>227</v>
      </c>
      <c r="AT147" s="28">
        <v>227</v>
      </c>
      <c r="AU147" s="28">
        <v>229</v>
      </c>
      <c r="AV147" s="28">
        <v>227</v>
      </c>
      <c r="AW147" s="28">
        <v>227</v>
      </c>
      <c r="AX147" s="28">
        <v>224</v>
      </c>
      <c r="AY147" s="28">
        <v>222</v>
      </c>
      <c r="AZ147" s="28">
        <v>228</v>
      </c>
      <c r="BA147" s="28">
        <v>229</v>
      </c>
      <c r="BB147" s="28">
        <v>228</v>
      </c>
      <c r="BC147" s="28">
        <v>227</v>
      </c>
      <c r="BD147" s="28">
        <v>226</v>
      </c>
      <c r="BE147" s="28">
        <v>231</v>
      </c>
      <c r="BF147" s="28">
        <v>225</v>
      </c>
      <c r="BG147" s="28">
        <v>227</v>
      </c>
      <c r="BH147" s="28">
        <v>225</v>
      </c>
      <c r="BI147" s="28">
        <v>227</v>
      </c>
      <c r="BJ147" s="28">
        <v>226</v>
      </c>
      <c r="BK147" s="28">
        <v>228</v>
      </c>
      <c r="BL147" s="28">
        <v>230</v>
      </c>
      <c r="BM147" s="28">
        <v>231</v>
      </c>
      <c r="BN147" s="28">
        <v>228</v>
      </c>
      <c r="BO147" s="28">
        <v>227</v>
      </c>
      <c r="BP147" s="28">
        <v>231</v>
      </c>
      <c r="BQ147" s="28">
        <v>228</v>
      </c>
      <c r="BR147" s="28">
        <v>222</v>
      </c>
      <c r="BS147" s="28">
        <v>228</v>
      </c>
      <c r="BT147" s="28">
        <v>228</v>
      </c>
      <c r="BU147" s="28">
        <v>230</v>
      </c>
      <c r="BV147" s="28">
        <v>226</v>
      </c>
      <c r="BW147" s="28">
        <v>226</v>
      </c>
      <c r="BX147" s="28">
        <v>229</v>
      </c>
      <c r="BY147" s="28">
        <v>227</v>
      </c>
      <c r="BZ147" s="28">
        <v>229</v>
      </c>
      <c r="CA147" s="28">
        <v>227</v>
      </c>
      <c r="CB147" s="28">
        <v>225</v>
      </c>
      <c r="CC147" s="28">
        <v>228</v>
      </c>
    </row>
    <row r="148" spans="1:81" x14ac:dyDescent="0.25">
      <c r="A148" s="21" t="s">
        <v>309</v>
      </c>
      <c r="B148" s="22">
        <v>2</v>
      </c>
      <c r="C148" s="21" t="s">
        <v>310</v>
      </c>
      <c r="D148" s="23">
        <v>13607</v>
      </c>
      <c r="E148" s="24">
        <v>59.984549600000001</v>
      </c>
      <c r="F148" s="25">
        <v>0</v>
      </c>
      <c r="G148" s="21" t="s">
        <v>252</v>
      </c>
      <c r="H148" s="26">
        <v>226.84174659536001</v>
      </c>
      <c r="I148" s="24">
        <v>229.08457802620731</v>
      </c>
      <c r="J148" s="24">
        <v>176.67039205633381</v>
      </c>
      <c r="K148" s="24">
        <v>157.2565549800193</v>
      </c>
      <c r="L148" s="24">
        <v>156.08309797717959</v>
      </c>
      <c r="M148" s="24">
        <v>80.992121086460713</v>
      </c>
      <c r="N148" s="24">
        <v>38.440396243604482</v>
      </c>
      <c r="O148" s="24">
        <v>388.00294882241099</v>
      </c>
      <c r="P148" s="27">
        <v>4.408359638421401</v>
      </c>
      <c r="Q148" s="27">
        <v>0.48893058801793182</v>
      </c>
      <c r="R148" s="24">
        <v>11.090986854988399</v>
      </c>
      <c r="S148" s="24">
        <v>2.9398794649419371E-2</v>
      </c>
      <c r="T148" s="24">
        <v>2.204747556404792E-2</v>
      </c>
      <c r="U148" s="22"/>
      <c r="V148" s="28">
        <v>230</v>
      </c>
      <c r="W148" s="28">
        <v>230</v>
      </c>
      <c r="X148" s="28">
        <v>228</v>
      </c>
      <c r="Y148" s="28">
        <v>227</v>
      </c>
      <c r="Z148" s="28">
        <v>229</v>
      </c>
      <c r="AA148" s="28">
        <v>228</v>
      </c>
      <c r="AB148" s="28">
        <v>227</v>
      </c>
      <c r="AC148" s="28">
        <v>229</v>
      </c>
      <c r="AD148" s="28">
        <v>229</v>
      </c>
      <c r="AE148" s="28">
        <v>228</v>
      </c>
      <c r="AF148" s="28">
        <v>228</v>
      </c>
      <c r="AG148" s="28">
        <v>227</v>
      </c>
      <c r="AH148" s="28">
        <v>230</v>
      </c>
      <c r="AI148" s="28">
        <v>225</v>
      </c>
      <c r="AJ148" s="28">
        <v>229</v>
      </c>
      <c r="AK148" s="28">
        <v>229</v>
      </c>
      <c r="AL148" s="28">
        <v>227</v>
      </c>
      <c r="AM148" s="28">
        <v>229</v>
      </c>
      <c r="AN148" s="28">
        <v>229</v>
      </c>
      <c r="AO148" s="28">
        <v>226</v>
      </c>
      <c r="AP148" s="28">
        <v>231</v>
      </c>
      <c r="AQ148" s="28">
        <v>227</v>
      </c>
      <c r="AR148" s="28">
        <v>226</v>
      </c>
      <c r="AS148" s="28">
        <v>225</v>
      </c>
      <c r="AT148" s="28">
        <v>226</v>
      </c>
      <c r="AU148" s="28">
        <v>228</v>
      </c>
      <c r="AV148" s="28">
        <v>228</v>
      </c>
      <c r="AW148" s="28">
        <v>230</v>
      </c>
      <c r="AX148" s="28">
        <v>229</v>
      </c>
      <c r="AY148" s="28">
        <v>231</v>
      </c>
      <c r="AZ148" s="28">
        <v>230</v>
      </c>
      <c r="BA148" s="28">
        <v>227</v>
      </c>
      <c r="BB148" s="28">
        <v>229</v>
      </c>
      <c r="BC148" s="28">
        <v>228</v>
      </c>
      <c r="BD148" s="28">
        <v>227</v>
      </c>
      <c r="BE148" s="28">
        <v>228</v>
      </c>
      <c r="BF148" s="28">
        <v>226</v>
      </c>
      <c r="BG148" s="28">
        <v>221</v>
      </c>
      <c r="BH148" s="28">
        <v>219</v>
      </c>
      <c r="BI148" s="28">
        <v>219</v>
      </c>
      <c r="BJ148" s="28">
        <v>221</v>
      </c>
      <c r="BK148" s="28">
        <v>222</v>
      </c>
      <c r="BL148" s="28">
        <v>220</v>
      </c>
      <c r="BM148" s="28">
        <v>221</v>
      </c>
      <c r="BN148" s="28">
        <v>222</v>
      </c>
      <c r="BO148" s="28">
        <v>229</v>
      </c>
      <c r="BP148" s="28">
        <v>228</v>
      </c>
      <c r="BQ148" s="28">
        <v>229</v>
      </c>
      <c r="BR148" s="28">
        <v>225</v>
      </c>
      <c r="BS148" s="28">
        <v>226</v>
      </c>
      <c r="BT148" s="28">
        <v>228</v>
      </c>
      <c r="BU148" s="28">
        <v>230</v>
      </c>
      <c r="BV148" s="28">
        <v>227</v>
      </c>
      <c r="BW148" s="28">
        <v>224</v>
      </c>
      <c r="BX148" s="28">
        <v>224</v>
      </c>
      <c r="BY148" s="28">
        <v>221</v>
      </c>
      <c r="BZ148" s="28">
        <v>228</v>
      </c>
      <c r="CA148" s="28">
        <v>228</v>
      </c>
      <c r="CB148" s="28">
        <v>228</v>
      </c>
      <c r="CC148" s="28">
        <v>227</v>
      </c>
    </row>
    <row r="149" spans="1:81" x14ac:dyDescent="0.25">
      <c r="A149" s="21" t="s">
        <v>309</v>
      </c>
      <c r="B149" s="22">
        <v>3</v>
      </c>
      <c r="C149" s="21" t="s">
        <v>310</v>
      </c>
      <c r="D149" s="23">
        <v>13591</v>
      </c>
      <c r="E149" s="24">
        <v>59.985949499999997</v>
      </c>
      <c r="F149" s="25">
        <v>0</v>
      </c>
      <c r="G149" s="21" t="s">
        <v>252</v>
      </c>
      <c r="H149" s="26">
        <v>226.56972363169811</v>
      </c>
      <c r="I149" s="24">
        <v>228.59755400617209</v>
      </c>
      <c r="J149" s="24">
        <v>176.93728634822671</v>
      </c>
      <c r="K149" s="24">
        <v>157.83102295020831</v>
      </c>
      <c r="L149" s="24">
        <v>160.76840002625329</v>
      </c>
      <c r="M149" s="24">
        <v>99.915571342215813</v>
      </c>
      <c r="N149" s="24">
        <v>43.352162622632427</v>
      </c>
      <c r="O149" s="24">
        <v>349.5281370150297</v>
      </c>
      <c r="P149" s="27">
        <v>4.4136523802516372</v>
      </c>
      <c r="Q149" s="27">
        <v>0.47495906803078569</v>
      </c>
      <c r="R149" s="24">
        <v>10.761134478010399</v>
      </c>
      <c r="S149" s="24">
        <v>7.3583517292126564E-3</v>
      </c>
      <c r="T149" s="24">
        <v>7.3578103156500627E-3</v>
      </c>
      <c r="U149" s="22"/>
      <c r="V149" s="28">
        <v>227</v>
      </c>
      <c r="W149" s="28">
        <v>229</v>
      </c>
      <c r="X149" s="28">
        <v>226</v>
      </c>
      <c r="Y149" s="28">
        <v>229</v>
      </c>
      <c r="Z149" s="28">
        <v>227</v>
      </c>
      <c r="AA149" s="28">
        <v>225</v>
      </c>
      <c r="AB149" s="28">
        <v>230</v>
      </c>
      <c r="AC149" s="28">
        <v>225</v>
      </c>
      <c r="AD149" s="28">
        <v>228</v>
      </c>
      <c r="AE149" s="28">
        <v>224</v>
      </c>
      <c r="AF149" s="28">
        <v>227</v>
      </c>
      <c r="AG149" s="28">
        <v>228</v>
      </c>
      <c r="AH149" s="28">
        <v>228</v>
      </c>
      <c r="AI149" s="28">
        <v>227</v>
      </c>
      <c r="AJ149" s="28">
        <v>230</v>
      </c>
      <c r="AK149" s="28">
        <v>228</v>
      </c>
      <c r="AL149" s="28">
        <v>229</v>
      </c>
      <c r="AM149" s="28">
        <v>229</v>
      </c>
      <c r="AN149" s="28">
        <v>227</v>
      </c>
      <c r="AO149" s="28">
        <v>226</v>
      </c>
      <c r="AP149" s="28">
        <v>228</v>
      </c>
      <c r="AQ149" s="28">
        <v>228</v>
      </c>
      <c r="AR149" s="28">
        <v>228</v>
      </c>
      <c r="AS149" s="28">
        <v>229</v>
      </c>
      <c r="AT149" s="28">
        <v>227</v>
      </c>
      <c r="AU149" s="28">
        <v>223</v>
      </c>
      <c r="AV149" s="28">
        <v>222</v>
      </c>
      <c r="AW149" s="28">
        <v>230</v>
      </c>
      <c r="AX149" s="28">
        <v>223</v>
      </c>
      <c r="AY149" s="28">
        <v>212</v>
      </c>
      <c r="AZ149" s="28">
        <v>222</v>
      </c>
      <c r="BA149" s="28">
        <v>223</v>
      </c>
      <c r="BB149" s="28">
        <v>226</v>
      </c>
      <c r="BC149" s="28">
        <v>227</v>
      </c>
      <c r="BD149" s="28">
        <v>226</v>
      </c>
      <c r="BE149" s="28">
        <v>228</v>
      </c>
      <c r="BF149" s="28">
        <v>230</v>
      </c>
      <c r="BG149" s="28">
        <v>230</v>
      </c>
      <c r="BH149" s="28">
        <v>230</v>
      </c>
      <c r="BI149" s="28">
        <v>225</v>
      </c>
      <c r="BJ149" s="28">
        <v>228</v>
      </c>
      <c r="BK149" s="28">
        <v>221</v>
      </c>
      <c r="BL149" s="28">
        <v>230</v>
      </c>
      <c r="BM149" s="28">
        <v>225</v>
      </c>
      <c r="BN149" s="28">
        <v>229</v>
      </c>
      <c r="BO149" s="28">
        <v>231</v>
      </c>
      <c r="BP149" s="28">
        <v>230</v>
      </c>
      <c r="BQ149" s="28">
        <v>228</v>
      </c>
      <c r="BR149" s="28">
        <v>227</v>
      </c>
      <c r="BS149" s="28">
        <v>225</v>
      </c>
      <c r="BT149" s="28">
        <v>228</v>
      </c>
      <c r="BU149" s="28">
        <v>227</v>
      </c>
      <c r="BV149" s="28">
        <v>226</v>
      </c>
      <c r="BW149" s="28">
        <v>232</v>
      </c>
      <c r="BX149" s="28">
        <v>225</v>
      </c>
      <c r="BY149" s="28">
        <v>229</v>
      </c>
      <c r="BZ149" s="28">
        <v>225</v>
      </c>
      <c r="CA149" s="28">
        <v>222</v>
      </c>
      <c r="CB149" s="28">
        <v>220</v>
      </c>
      <c r="CC149" s="28">
        <v>217</v>
      </c>
    </row>
    <row r="150" spans="1:81" x14ac:dyDescent="0.25">
      <c r="A150" s="21" t="s">
        <v>309</v>
      </c>
      <c r="B150" s="22">
        <v>4</v>
      </c>
      <c r="C150" s="21" t="s">
        <v>310</v>
      </c>
      <c r="D150" s="23">
        <v>13649</v>
      </c>
      <c r="E150" s="24">
        <v>59.996469599999998</v>
      </c>
      <c r="F150" s="25">
        <v>0</v>
      </c>
      <c r="G150" s="21" t="s">
        <v>252</v>
      </c>
      <c r="H150" s="26">
        <v>227.49671924029349</v>
      </c>
      <c r="I150" s="24">
        <v>229.6949650863653</v>
      </c>
      <c r="J150" s="24">
        <v>178.70239189577501</v>
      </c>
      <c r="K150" s="24">
        <v>158.18565858447499</v>
      </c>
      <c r="L150" s="24">
        <v>160.85715304397289</v>
      </c>
      <c r="M150" s="24">
        <v>99.411484014633359</v>
      </c>
      <c r="N150" s="24">
        <v>44.311313564579308</v>
      </c>
      <c r="O150" s="24">
        <v>341.62339437004653</v>
      </c>
      <c r="P150" s="27">
        <v>4.3956677851857284</v>
      </c>
      <c r="Q150" s="27">
        <v>0.46745871841805953</v>
      </c>
      <c r="R150" s="24">
        <v>10.63453248203807</v>
      </c>
      <c r="S150" s="24">
        <v>1.4654161781946069E-2</v>
      </c>
      <c r="T150" s="24">
        <v>1.465308813832515E-2</v>
      </c>
      <c r="U150" s="22"/>
      <c r="V150" s="28">
        <v>231</v>
      </c>
      <c r="W150" s="28">
        <v>228</v>
      </c>
      <c r="X150" s="28">
        <v>229</v>
      </c>
      <c r="Y150" s="28">
        <v>230</v>
      </c>
      <c r="Z150" s="28">
        <v>226</v>
      </c>
      <c r="AA150" s="28">
        <v>229</v>
      </c>
      <c r="AB150" s="28">
        <v>231</v>
      </c>
      <c r="AC150" s="28">
        <v>229</v>
      </c>
      <c r="AD150" s="28">
        <v>230</v>
      </c>
      <c r="AE150" s="28">
        <v>228</v>
      </c>
      <c r="AF150" s="28">
        <v>228</v>
      </c>
      <c r="AG150" s="28">
        <v>224</v>
      </c>
      <c r="AH150" s="28">
        <v>227</v>
      </c>
      <c r="AI150" s="28">
        <v>227</v>
      </c>
      <c r="AJ150" s="28">
        <v>224</v>
      </c>
      <c r="AK150" s="28">
        <v>228</v>
      </c>
      <c r="AL150" s="28">
        <v>229</v>
      </c>
      <c r="AM150" s="28">
        <v>230</v>
      </c>
      <c r="AN150" s="28">
        <v>227</v>
      </c>
      <c r="AO150" s="28">
        <v>229</v>
      </c>
      <c r="AP150" s="28">
        <v>226</v>
      </c>
      <c r="AQ150" s="28">
        <v>228</v>
      </c>
      <c r="AR150" s="28">
        <v>227</v>
      </c>
      <c r="AS150" s="28">
        <v>228</v>
      </c>
      <c r="AT150" s="28">
        <v>225</v>
      </c>
      <c r="AU150" s="28">
        <v>225</v>
      </c>
      <c r="AV150" s="28">
        <v>226</v>
      </c>
      <c r="AW150" s="28">
        <v>227</v>
      </c>
      <c r="AX150" s="28">
        <v>224</v>
      </c>
      <c r="AY150" s="28">
        <v>228</v>
      </c>
      <c r="AZ150" s="28">
        <v>229</v>
      </c>
      <c r="BA150" s="28">
        <v>231</v>
      </c>
      <c r="BB150" s="28">
        <v>230</v>
      </c>
      <c r="BC150" s="28">
        <v>225</v>
      </c>
      <c r="BD150" s="28">
        <v>224</v>
      </c>
      <c r="BE150" s="28">
        <v>229</v>
      </c>
      <c r="BF150" s="28">
        <v>227</v>
      </c>
      <c r="BG150" s="28">
        <v>228</v>
      </c>
      <c r="BH150" s="28">
        <v>227</v>
      </c>
      <c r="BI150" s="28">
        <v>230</v>
      </c>
      <c r="BJ150" s="28">
        <v>228</v>
      </c>
      <c r="BK150" s="28">
        <v>226</v>
      </c>
      <c r="BL150" s="28">
        <v>227</v>
      </c>
      <c r="BM150" s="28">
        <v>226</v>
      </c>
      <c r="BN150" s="28">
        <v>223</v>
      </c>
      <c r="BO150" s="28">
        <v>227</v>
      </c>
      <c r="BP150" s="28">
        <v>229</v>
      </c>
      <c r="BQ150" s="28">
        <v>230</v>
      </c>
      <c r="BR150" s="28">
        <v>226</v>
      </c>
      <c r="BS150" s="28">
        <v>228</v>
      </c>
      <c r="BT150" s="28">
        <v>227</v>
      </c>
      <c r="BU150" s="28">
        <v>225</v>
      </c>
      <c r="BV150" s="28">
        <v>227</v>
      </c>
      <c r="BW150" s="28">
        <v>225</v>
      </c>
      <c r="BX150" s="28">
        <v>226</v>
      </c>
      <c r="BY150" s="28">
        <v>228</v>
      </c>
      <c r="BZ150" s="28">
        <v>229</v>
      </c>
      <c r="CA150" s="28">
        <v>229</v>
      </c>
      <c r="CB150" s="28">
        <v>228</v>
      </c>
      <c r="CC150" s="28">
        <v>227</v>
      </c>
    </row>
    <row r="151" spans="1:81" x14ac:dyDescent="0.25">
      <c r="A151" s="21" t="s">
        <v>309</v>
      </c>
      <c r="B151" s="22">
        <v>5</v>
      </c>
      <c r="C151" s="21" t="s">
        <v>310</v>
      </c>
      <c r="D151" s="23">
        <v>13480</v>
      </c>
      <c r="E151" s="24">
        <v>59.985573600000002</v>
      </c>
      <c r="F151" s="25">
        <v>0</v>
      </c>
      <c r="G151" s="21" t="s">
        <v>252</v>
      </c>
      <c r="H151" s="26">
        <v>224.72069851141671</v>
      </c>
      <c r="I151" s="24">
        <v>228.57142857142861</v>
      </c>
      <c r="J151" s="24">
        <v>177.28182988886559</v>
      </c>
      <c r="K151" s="24">
        <v>157.07384495394609</v>
      </c>
      <c r="L151" s="24">
        <v>19.7967108754716</v>
      </c>
      <c r="M151" s="24">
        <v>1.967712203987215</v>
      </c>
      <c r="N151" s="24">
        <v>1.967712203987215</v>
      </c>
      <c r="O151" s="24">
        <v>431.49946062567432</v>
      </c>
      <c r="P151" s="27">
        <v>4.4499683679525228</v>
      </c>
      <c r="Q151" s="27">
        <v>4.3656854386865156</v>
      </c>
      <c r="R151" s="24">
        <v>98.105988126275463</v>
      </c>
      <c r="S151" s="24">
        <v>3.7094739965872842E-2</v>
      </c>
      <c r="T151" s="24">
        <v>2.2255192878338281E-2</v>
      </c>
      <c r="U151" s="22"/>
      <c r="V151" s="28">
        <v>227</v>
      </c>
      <c r="W151" s="28">
        <v>230</v>
      </c>
      <c r="X151" s="28">
        <v>230</v>
      </c>
      <c r="Y151" s="28">
        <v>228</v>
      </c>
      <c r="Z151" s="28">
        <v>228</v>
      </c>
      <c r="AA151" s="28">
        <v>224</v>
      </c>
      <c r="AB151" s="28">
        <v>225</v>
      </c>
      <c r="AC151" s="28">
        <v>226</v>
      </c>
      <c r="AD151" s="28">
        <v>227</v>
      </c>
      <c r="AE151" s="28">
        <v>179</v>
      </c>
      <c r="AF151" s="28">
        <v>155</v>
      </c>
      <c r="AG151" s="28">
        <v>228</v>
      </c>
      <c r="AH151" s="28">
        <v>228</v>
      </c>
      <c r="AI151" s="28">
        <v>227</v>
      </c>
      <c r="AJ151" s="28">
        <v>223</v>
      </c>
      <c r="AK151" s="28">
        <v>230</v>
      </c>
      <c r="AL151" s="28">
        <v>228</v>
      </c>
      <c r="AM151" s="28">
        <v>230</v>
      </c>
      <c r="AN151" s="28">
        <v>227</v>
      </c>
      <c r="AO151" s="28">
        <v>229</v>
      </c>
      <c r="AP151" s="28">
        <v>224</v>
      </c>
      <c r="AQ151" s="28">
        <v>226</v>
      </c>
      <c r="AR151" s="28">
        <v>228</v>
      </c>
      <c r="AS151" s="28">
        <v>226</v>
      </c>
      <c r="AT151" s="28">
        <v>227</v>
      </c>
      <c r="AU151" s="28">
        <v>227</v>
      </c>
      <c r="AV151" s="28">
        <v>226</v>
      </c>
      <c r="AW151" s="28">
        <v>225</v>
      </c>
      <c r="AX151" s="28">
        <v>225</v>
      </c>
      <c r="AY151" s="28">
        <v>227</v>
      </c>
      <c r="AZ151" s="28">
        <v>227</v>
      </c>
      <c r="BA151" s="28">
        <v>228</v>
      </c>
      <c r="BB151" s="28">
        <v>226</v>
      </c>
      <c r="BC151" s="28">
        <v>227</v>
      </c>
      <c r="BD151" s="28">
        <v>227</v>
      </c>
      <c r="BE151" s="28">
        <v>228</v>
      </c>
      <c r="BF151" s="28">
        <v>225</v>
      </c>
      <c r="BG151" s="28">
        <v>221</v>
      </c>
      <c r="BH151" s="28">
        <v>227</v>
      </c>
      <c r="BI151" s="28">
        <v>223</v>
      </c>
      <c r="BJ151" s="28">
        <v>222</v>
      </c>
      <c r="BK151" s="28">
        <v>225</v>
      </c>
      <c r="BL151" s="28">
        <v>225</v>
      </c>
      <c r="BM151" s="28">
        <v>224</v>
      </c>
      <c r="BN151" s="28">
        <v>226</v>
      </c>
      <c r="BO151" s="28">
        <v>227</v>
      </c>
      <c r="BP151" s="28">
        <v>230</v>
      </c>
      <c r="BQ151" s="28">
        <v>229</v>
      </c>
      <c r="BR151" s="28">
        <v>229</v>
      </c>
      <c r="BS151" s="28">
        <v>227</v>
      </c>
      <c r="BT151" s="28">
        <v>226</v>
      </c>
      <c r="BU151" s="28">
        <v>230</v>
      </c>
      <c r="BV151" s="28">
        <v>227</v>
      </c>
      <c r="BW151" s="28">
        <v>231</v>
      </c>
      <c r="BX151" s="28">
        <v>227</v>
      </c>
      <c r="BY151" s="28">
        <v>227</v>
      </c>
      <c r="BZ151" s="28">
        <v>226</v>
      </c>
      <c r="CA151" s="28">
        <v>227</v>
      </c>
      <c r="CB151" s="28">
        <v>226</v>
      </c>
      <c r="CC151" s="28">
        <v>220</v>
      </c>
    </row>
    <row r="152" spans="1:81" x14ac:dyDescent="0.25">
      <c r="A152" s="29" t="s">
        <v>311</v>
      </c>
      <c r="B152" s="30">
        <v>1</v>
      </c>
      <c r="C152" s="29" t="s">
        <v>312</v>
      </c>
      <c r="D152" s="31">
        <v>13614</v>
      </c>
      <c r="E152" s="32">
        <v>59.995241399999998</v>
      </c>
      <c r="F152" s="33">
        <v>0</v>
      </c>
      <c r="G152" s="29" t="s">
        <v>252</v>
      </c>
      <c r="H152" s="34">
        <v>226.91799686633149</v>
      </c>
      <c r="I152" s="32">
        <v>229.04522497967221</v>
      </c>
      <c r="J152" s="32">
        <v>176.97893419746271</v>
      </c>
      <c r="K152" s="32">
        <v>157.76568451217389</v>
      </c>
      <c r="L152" s="32">
        <v>157.45671929146459</v>
      </c>
      <c r="M152" s="32">
        <v>89.861927148935649</v>
      </c>
      <c r="N152" s="32">
        <v>43.942909372143717</v>
      </c>
      <c r="O152" s="32">
        <v>468.12096245669881</v>
      </c>
      <c r="P152" s="35">
        <v>4.4068783164389602</v>
      </c>
      <c r="Q152" s="35">
        <v>0.47423559490710743</v>
      </c>
      <c r="R152" s="32">
        <v>10.761259123903381</v>
      </c>
      <c r="S152" s="32">
        <v>2.938367736722251E-2</v>
      </c>
      <c r="T152" s="32">
        <v>2.203613926840018E-2</v>
      </c>
      <c r="U152" s="30"/>
      <c r="V152" s="36">
        <v>224</v>
      </c>
      <c r="W152" s="36">
        <v>224</v>
      </c>
      <c r="X152" s="36">
        <v>228</v>
      </c>
      <c r="Y152" s="36">
        <v>227</v>
      </c>
      <c r="Z152" s="36">
        <v>226</v>
      </c>
      <c r="AA152" s="36">
        <v>230</v>
      </c>
      <c r="AB152" s="36">
        <v>226</v>
      </c>
      <c r="AC152" s="36">
        <v>229</v>
      </c>
      <c r="AD152" s="36">
        <v>228</v>
      </c>
      <c r="AE152" s="36">
        <v>228</v>
      </c>
      <c r="AF152" s="36">
        <v>226</v>
      </c>
      <c r="AG152" s="36">
        <v>226</v>
      </c>
      <c r="AH152" s="36">
        <v>228</v>
      </c>
      <c r="AI152" s="36">
        <v>229</v>
      </c>
      <c r="AJ152" s="36">
        <v>229</v>
      </c>
      <c r="AK152" s="36">
        <v>227</v>
      </c>
      <c r="AL152" s="36">
        <v>229</v>
      </c>
      <c r="AM152" s="36">
        <v>227</v>
      </c>
      <c r="AN152" s="36">
        <v>229</v>
      </c>
      <c r="AO152" s="36">
        <v>229</v>
      </c>
      <c r="AP152" s="36">
        <v>225</v>
      </c>
      <c r="AQ152" s="36">
        <v>228</v>
      </c>
      <c r="AR152" s="36">
        <v>228</v>
      </c>
      <c r="AS152" s="36">
        <v>227</v>
      </c>
      <c r="AT152" s="36">
        <v>226</v>
      </c>
      <c r="AU152" s="36">
        <v>229</v>
      </c>
      <c r="AV152" s="36">
        <v>227</v>
      </c>
      <c r="AW152" s="36">
        <v>229</v>
      </c>
      <c r="AX152" s="36">
        <v>230</v>
      </c>
      <c r="AY152" s="36">
        <v>225</v>
      </c>
      <c r="AZ152" s="36">
        <v>224</v>
      </c>
      <c r="BA152" s="36">
        <v>224</v>
      </c>
      <c r="BB152" s="36">
        <v>225</v>
      </c>
      <c r="BC152" s="36">
        <v>228</v>
      </c>
      <c r="BD152" s="36">
        <v>221</v>
      </c>
      <c r="BE152" s="36">
        <v>230</v>
      </c>
      <c r="BF152" s="36">
        <v>225</v>
      </c>
      <c r="BG152" s="36">
        <v>228</v>
      </c>
      <c r="BH152" s="36">
        <v>228</v>
      </c>
      <c r="BI152" s="36">
        <v>227</v>
      </c>
      <c r="BJ152" s="36">
        <v>222</v>
      </c>
      <c r="BK152" s="36">
        <v>225</v>
      </c>
      <c r="BL152" s="36">
        <v>228</v>
      </c>
      <c r="BM152" s="36">
        <v>229</v>
      </c>
      <c r="BN152" s="36">
        <v>228</v>
      </c>
      <c r="BO152" s="36">
        <v>229</v>
      </c>
      <c r="BP152" s="36">
        <v>229</v>
      </c>
      <c r="BQ152" s="36">
        <v>227</v>
      </c>
      <c r="BR152" s="36">
        <v>226</v>
      </c>
      <c r="BS152" s="36">
        <v>225</v>
      </c>
      <c r="BT152" s="36">
        <v>225</v>
      </c>
      <c r="BU152" s="36">
        <v>226</v>
      </c>
      <c r="BV152" s="36">
        <v>228</v>
      </c>
      <c r="BW152" s="36">
        <v>228</v>
      </c>
      <c r="BX152" s="36">
        <v>229</v>
      </c>
      <c r="BY152" s="36">
        <v>228</v>
      </c>
      <c r="BZ152" s="36">
        <v>224</v>
      </c>
      <c r="CA152" s="36">
        <v>226</v>
      </c>
      <c r="CB152" s="36">
        <v>225</v>
      </c>
      <c r="CC152" s="36">
        <v>224</v>
      </c>
    </row>
    <row r="153" spans="1:81" x14ac:dyDescent="0.25">
      <c r="A153" s="29" t="s">
        <v>311</v>
      </c>
      <c r="B153" s="30">
        <v>2</v>
      </c>
      <c r="C153" s="29" t="s">
        <v>312</v>
      </c>
      <c r="D153" s="31">
        <v>13571</v>
      </c>
      <c r="E153" s="32">
        <v>59.994163800000003</v>
      </c>
      <c r="F153" s="33">
        <v>0</v>
      </c>
      <c r="G153" s="29" t="s">
        <v>252</v>
      </c>
      <c r="H153" s="34">
        <v>226.2053363263978</v>
      </c>
      <c r="I153" s="32">
        <v>228.86437497139201</v>
      </c>
      <c r="J153" s="32">
        <v>175.28668136737639</v>
      </c>
      <c r="K153" s="32">
        <v>152.9625714354278</v>
      </c>
      <c r="L153" s="32">
        <v>155.81542105222161</v>
      </c>
      <c r="M153" s="32">
        <v>82.90993990687555</v>
      </c>
      <c r="N153" s="32">
        <v>37.60897199635945</v>
      </c>
      <c r="O153" s="32">
        <v>390.06123961461952</v>
      </c>
      <c r="P153" s="35">
        <v>4.420762198806278</v>
      </c>
      <c r="Q153" s="35">
        <v>0.49565390767219208</v>
      </c>
      <c r="R153" s="32">
        <v>11.21195588864815</v>
      </c>
      <c r="S153" s="32">
        <v>1.473839351510685E-2</v>
      </c>
      <c r="T153" s="32">
        <v>1.4737307493920861E-2</v>
      </c>
      <c r="U153" s="30"/>
      <c r="V153" s="36">
        <v>230</v>
      </c>
      <c r="W153" s="36">
        <v>227</v>
      </c>
      <c r="X153" s="36">
        <v>228</v>
      </c>
      <c r="Y153" s="36">
        <v>230</v>
      </c>
      <c r="Z153" s="36">
        <v>227</v>
      </c>
      <c r="AA153" s="36">
        <v>231</v>
      </c>
      <c r="AB153" s="36">
        <v>225</v>
      </c>
      <c r="AC153" s="36">
        <v>228</v>
      </c>
      <c r="AD153" s="36">
        <v>229</v>
      </c>
      <c r="AE153" s="36">
        <v>226</v>
      </c>
      <c r="AF153" s="36">
        <v>228</v>
      </c>
      <c r="AG153" s="36">
        <v>226</v>
      </c>
      <c r="AH153" s="36">
        <v>228</v>
      </c>
      <c r="AI153" s="36">
        <v>230</v>
      </c>
      <c r="AJ153" s="36">
        <v>227</v>
      </c>
      <c r="AK153" s="36">
        <v>226</v>
      </c>
      <c r="AL153" s="36">
        <v>226</v>
      </c>
      <c r="AM153" s="36">
        <v>229</v>
      </c>
      <c r="AN153" s="36">
        <v>230</v>
      </c>
      <c r="AO153" s="36">
        <v>229</v>
      </c>
      <c r="AP153" s="36">
        <v>228</v>
      </c>
      <c r="AQ153" s="36">
        <v>225</v>
      </c>
      <c r="AR153" s="36">
        <v>230</v>
      </c>
      <c r="AS153" s="36">
        <v>227</v>
      </c>
      <c r="AT153" s="36">
        <v>226</v>
      </c>
      <c r="AU153" s="36">
        <v>227</v>
      </c>
      <c r="AV153" s="36">
        <v>224</v>
      </c>
      <c r="AW153" s="36">
        <v>226</v>
      </c>
      <c r="AX153" s="36">
        <v>230</v>
      </c>
      <c r="AY153" s="36">
        <v>228</v>
      </c>
      <c r="AZ153" s="36">
        <v>229</v>
      </c>
      <c r="BA153" s="36">
        <v>228</v>
      </c>
      <c r="BB153" s="36">
        <v>228</v>
      </c>
      <c r="BC153" s="36">
        <v>229</v>
      </c>
      <c r="BD153" s="36">
        <v>220</v>
      </c>
      <c r="BE153" s="36">
        <v>220</v>
      </c>
      <c r="BF153" s="36">
        <v>224</v>
      </c>
      <c r="BG153" s="36">
        <v>224</v>
      </c>
      <c r="BH153" s="36">
        <v>210</v>
      </c>
      <c r="BI153" s="36">
        <v>212</v>
      </c>
      <c r="BJ153" s="36">
        <v>222</v>
      </c>
      <c r="BK153" s="36">
        <v>221</v>
      </c>
      <c r="BL153" s="36">
        <v>221</v>
      </c>
      <c r="BM153" s="36">
        <v>220</v>
      </c>
      <c r="BN153" s="36">
        <v>227</v>
      </c>
      <c r="BO153" s="36">
        <v>226</v>
      </c>
      <c r="BP153" s="36">
        <v>226</v>
      </c>
      <c r="BQ153" s="36">
        <v>228</v>
      </c>
      <c r="BR153" s="36">
        <v>228</v>
      </c>
      <c r="BS153" s="36">
        <v>226</v>
      </c>
      <c r="BT153" s="36">
        <v>226</v>
      </c>
      <c r="BU153" s="36">
        <v>227</v>
      </c>
      <c r="BV153" s="36">
        <v>229</v>
      </c>
      <c r="BW153" s="36">
        <v>229</v>
      </c>
      <c r="BX153" s="36">
        <v>228</v>
      </c>
      <c r="BY153" s="36">
        <v>227</v>
      </c>
      <c r="BZ153" s="36">
        <v>225</v>
      </c>
      <c r="CA153" s="36">
        <v>226</v>
      </c>
      <c r="CB153" s="36">
        <v>229</v>
      </c>
      <c r="CC153" s="36">
        <v>225</v>
      </c>
    </row>
    <row r="154" spans="1:81" x14ac:dyDescent="0.25">
      <c r="A154" s="29" t="s">
        <v>311</v>
      </c>
      <c r="B154" s="30">
        <v>3</v>
      </c>
      <c r="C154" s="29" t="s">
        <v>312</v>
      </c>
      <c r="D154" s="31">
        <v>13582</v>
      </c>
      <c r="E154" s="32">
        <v>60.00405159999999</v>
      </c>
      <c r="F154" s="33">
        <v>0</v>
      </c>
      <c r="G154" s="29" t="s">
        <v>252</v>
      </c>
      <c r="H154" s="34">
        <v>226.3513819123508</v>
      </c>
      <c r="I154" s="32">
        <v>228.57926557481969</v>
      </c>
      <c r="J154" s="32">
        <v>177.07577072229199</v>
      </c>
      <c r="K154" s="32">
        <v>155.9959094752582</v>
      </c>
      <c r="L154" s="32">
        <v>156.1176269921398</v>
      </c>
      <c r="M154" s="32">
        <v>77.277722223681906</v>
      </c>
      <c r="N154" s="32">
        <v>37.114014251781477</v>
      </c>
      <c r="O154" s="32">
        <v>331.75198221809381</v>
      </c>
      <c r="P154" s="35">
        <v>4.4179098512737438</v>
      </c>
      <c r="Q154" s="35">
        <v>0.49414149530748908</v>
      </c>
      <c r="R154" s="32">
        <v>11.184961032308561</v>
      </c>
      <c r="S154" s="32">
        <v>1.472645607834475E-2</v>
      </c>
      <c r="T154" s="32">
        <v>3.681342953909586E-2</v>
      </c>
      <c r="U154" s="30"/>
      <c r="V154" s="36">
        <v>230</v>
      </c>
      <c r="W154" s="36">
        <v>225</v>
      </c>
      <c r="X154" s="36">
        <v>224</v>
      </c>
      <c r="Y154" s="36">
        <v>223</v>
      </c>
      <c r="Z154" s="36">
        <v>228</v>
      </c>
      <c r="AA154" s="36">
        <v>229</v>
      </c>
      <c r="AB154" s="36">
        <v>231</v>
      </c>
      <c r="AC154" s="36">
        <v>220</v>
      </c>
      <c r="AD154" s="36">
        <v>228</v>
      </c>
      <c r="AE154" s="36">
        <v>227</v>
      </c>
      <c r="AF154" s="36">
        <v>228</v>
      </c>
      <c r="AG154" s="36">
        <v>224</v>
      </c>
      <c r="AH154" s="36">
        <v>225</v>
      </c>
      <c r="AI154" s="36">
        <v>229</v>
      </c>
      <c r="AJ154" s="36">
        <v>229</v>
      </c>
      <c r="AK154" s="36">
        <v>226</v>
      </c>
      <c r="AL154" s="36">
        <v>227</v>
      </c>
      <c r="AM154" s="36">
        <v>225</v>
      </c>
      <c r="AN154" s="36">
        <v>228</v>
      </c>
      <c r="AO154" s="36">
        <v>228</v>
      </c>
      <c r="AP154" s="36">
        <v>229</v>
      </c>
      <c r="AQ154" s="36">
        <v>226</v>
      </c>
      <c r="AR154" s="36">
        <v>227</v>
      </c>
      <c r="AS154" s="36">
        <v>226</v>
      </c>
      <c r="AT154" s="36">
        <v>227</v>
      </c>
      <c r="AU154" s="36">
        <v>226</v>
      </c>
      <c r="AV154" s="36">
        <v>228</v>
      </c>
      <c r="AW154" s="36">
        <v>225</v>
      </c>
      <c r="AX154" s="36">
        <v>227</v>
      </c>
      <c r="AY154" s="36">
        <v>230</v>
      </c>
      <c r="AZ154" s="36">
        <v>227</v>
      </c>
      <c r="BA154" s="36">
        <v>224</v>
      </c>
      <c r="BB154" s="36">
        <v>228</v>
      </c>
      <c r="BC154" s="36">
        <v>228</v>
      </c>
      <c r="BD154" s="36">
        <v>228</v>
      </c>
      <c r="BE154" s="36">
        <v>228</v>
      </c>
      <c r="BF154" s="36">
        <v>229</v>
      </c>
      <c r="BG154" s="36">
        <v>225</v>
      </c>
      <c r="BH154" s="36">
        <v>225</v>
      </c>
      <c r="BI154" s="36">
        <v>228</v>
      </c>
      <c r="BJ154" s="36">
        <v>228</v>
      </c>
      <c r="BK154" s="36">
        <v>225</v>
      </c>
      <c r="BL154" s="36">
        <v>227</v>
      </c>
      <c r="BM154" s="36">
        <v>227</v>
      </c>
      <c r="BN154" s="36">
        <v>230</v>
      </c>
      <c r="BO154" s="36">
        <v>226</v>
      </c>
      <c r="BP154" s="36">
        <v>229</v>
      </c>
      <c r="BQ154" s="36">
        <v>228</v>
      </c>
      <c r="BR154" s="36">
        <v>228</v>
      </c>
      <c r="BS154" s="36">
        <v>222</v>
      </c>
      <c r="BT154" s="36">
        <v>222</v>
      </c>
      <c r="BU154" s="36">
        <v>216</v>
      </c>
      <c r="BV154" s="36">
        <v>219</v>
      </c>
      <c r="BW154" s="36">
        <v>220</v>
      </c>
      <c r="BX154" s="36">
        <v>221</v>
      </c>
      <c r="BY154" s="36">
        <v>225</v>
      </c>
      <c r="BZ154" s="36">
        <v>227</v>
      </c>
      <c r="CA154" s="36">
        <v>228</v>
      </c>
      <c r="CB154" s="36">
        <v>229</v>
      </c>
      <c r="CC154" s="36">
        <v>229</v>
      </c>
    </row>
    <row r="155" spans="1:81" x14ac:dyDescent="0.25">
      <c r="A155" s="29" t="s">
        <v>311</v>
      </c>
      <c r="B155" s="30">
        <v>4</v>
      </c>
      <c r="C155" s="29" t="s">
        <v>312</v>
      </c>
      <c r="D155" s="31">
        <v>13610</v>
      </c>
      <c r="E155" s="32">
        <v>59.990137799999999</v>
      </c>
      <c r="F155" s="33">
        <v>0</v>
      </c>
      <c r="G155" s="29" t="s">
        <v>252</v>
      </c>
      <c r="H155" s="34">
        <v>226.87062405780969</v>
      </c>
      <c r="I155" s="32">
        <v>229.01112994091511</v>
      </c>
      <c r="J155" s="32">
        <v>178.69325908271031</v>
      </c>
      <c r="K155" s="32">
        <v>159.34589148927159</v>
      </c>
      <c r="L155" s="32">
        <v>159.4473025004327</v>
      </c>
      <c r="M155" s="32">
        <v>91.85491821850448</v>
      </c>
      <c r="N155" s="32">
        <v>42.522973036182798</v>
      </c>
      <c r="O155" s="32">
        <v>476.07712449416812</v>
      </c>
      <c r="P155" s="35">
        <v>4.4077985157972073</v>
      </c>
      <c r="Q155" s="35">
        <v>0.4768294908251775</v>
      </c>
      <c r="R155" s="32">
        <v>10.817860415267569</v>
      </c>
      <c r="S155" s="32">
        <v>2.9392313909912558E-2</v>
      </c>
      <c r="T155" s="32">
        <v>2.2042615723732551E-2</v>
      </c>
      <c r="U155" s="30"/>
      <c r="V155" s="36">
        <v>228</v>
      </c>
      <c r="W155" s="36">
        <v>226</v>
      </c>
      <c r="X155" s="36">
        <v>229</v>
      </c>
      <c r="Y155" s="36">
        <v>226</v>
      </c>
      <c r="Z155" s="36">
        <v>229</v>
      </c>
      <c r="AA155" s="36">
        <v>230</v>
      </c>
      <c r="AB155" s="36">
        <v>228</v>
      </c>
      <c r="AC155" s="36">
        <v>224</v>
      </c>
      <c r="AD155" s="36">
        <v>227</v>
      </c>
      <c r="AE155" s="36">
        <v>227</v>
      </c>
      <c r="AF155" s="36">
        <v>225</v>
      </c>
      <c r="AG155" s="36">
        <v>227</v>
      </c>
      <c r="AH155" s="36">
        <v>227</v>
      </c>
      <c r="AI155" s="36">
        <v>229</v>
      </c>
      <c r="AJ155" s="36">
        <v>226</v>
      </c>
      <c r="AK155" s="36">
        <v>228</v>
      </c>
      <c r="AL155" s="36">
        <v>224</v>
      </c>
      <c r="AM155" s="36">
        <v>226</v>
      </c>
      <c r="AN155" s="36">
        <v>228</v>
      </c>
      <c r="AO155" s="36">
        <v>229</v>
      </c>
      <c r="AP155" s="36">
        <v>228</v>
      </c>
      <c r="AQ155" s="36">
        <v>230</v>
      </c>
      <c r="AR155" s="36">
        <v>225</v>
      </c>
      <c r="AS155" s="36">
        <v>226</v>
      </c>
      <c r="AT155" s="36">
        <v>225</v>
      </c>
      <c r="AU155" s="36">
        <v>229</v>
      </c>
      <c r="AV155" s="36">
        <v>231</v>
      </c>
      <c r="AW155" s="36">
        <v>225</v>
      </c>
      <c r="AX155" s="36">
        <v>228</v>
      </c>
      <c r="AY155" s="36">
        <v>230</v>
      </c>
      <c r="AZ155" s="36">
        <v>229</v>
      </c>
      <c r="BA155" s="36">
        <v>225</v>
      </c>
      <c r="BB155" s="36">
        <v>231</v>
      </c>
      <c r="BC155" s="36">
        <v>227</v>
      </c>
      <c r="BD155" s="36">
        <v>228</v>
      </c>
      <c r="BE155" s="36">
        <v>226</v>
      </c>
      <c r="BF155" s="36">
        <v>227</v>
      </c>
      <c r="BG155" s="36">
        <v>226</v>
      </c>
      <c r="BH155" s="36">
        <v>229</v>
      </c>
      <c r="BI155" s="36">
        <v>228</v>
      </c>
      <c r="BJ155" s="36">
        <v>224</v>
      </c>
      <c r="BK155" s="36">
        <v>226</v>
      </c>
      <c r="BL155" s="36">
        <v>225</v>
      </c>
      <c r="BM155" s="36">
        <v>226</v>
      </c>
      <c r="BN155" s="36">
        <v>225</v>
      </c>
      <c r="BO155" s="36">
        <v>227</v>
      </c>
      <c r="BP155" s="36">
        <v>225</v>
      </c>
      <c r="BQ155" s="36">
        <v>222</v>
      </c>
      <c r="BR155" s="36">
        <v>222</v>
      </c>
      <c r="BS155" s="36">
        <v>227</v>
      </c>
      <c r="BT155" s="36">
        <v>229</v>
      </c>
      <c r="BU155" s="36">
        <v>227</v>
      </c>
      <c r="BV155" s="36">
        <v>229</v>
      </c>
      <c r="BW155" s="36">
        <v>229</v>
      </c>
      <c r="BX155" s="36">
        <v>228</v>
      </c>
      <c r="BY155" s="36">
        <v>220</v>
      </c>
      <c r="BZ155" s="36">
        <v>226</v>
      </c>
      <c r="CA155" s="36">
        <v>224</v>
      </c>
      <c r="CB155" s="36">
        <v>228</v>
      </c>
      <c r="CC155" s="36">
        <v>225</v>
      </c>
    </row>
    <row r="156" spans="1:81" x14ac:dyDescent="0.25">
      <c r="A156" s="29" t="s">
        <v>311</v>
      </c>
      <c r="B156" s="30">
        <v>5</v>
      </c>
      <c r="C156" s="29" t="s">
        <v>312</v>
      </c>
      <c r="D156" s="31">
        <v>13578</v>
      </c>
      <c r="E156" s="32">
        <v>59.992848700000003</v>
      </c>
      <c r="F156" s="33">
        <v>0</v>
      </c>
      <c r="G156" s="29" t="s">
        <v>252</v>
      </c>
      <c r="H156" s="34">
        <v>226.32697553500239</v>
      </c>
      <c r="I156" s="32">
        <v>228.1958833462644</v>
      </c>
      <c r="J156" s="32">
        <v>177.69419043059921</v>
      </c>
      <c r="K156" s="32">
        <v>162.35879533800309</v>
      </c>
      <c r="L156" s="32">
        <v>159.1734124690482</v>
      </c>
      <c r="M156" s="32">
        <v>80.222569496811957</v>
      </c>
      <c r="N156" s="32">
        <v>41.490504897954096</v>
      </c>
      <c r="O156" s="32">
        <v>368.97645930189663</v>
      </c>
      <c r="P156" s="35">
        <v>4.4183862645455889</v>
      </c>
      <c r="Q156" s="35">
        <v>0.48343935049817849</v>
      </c>
      <c r="R156" s="32">
        <v>10.94153660528587</v>
      </c>
      <c r="S156" s="32">
        <v>2.2096192089563229E-2</v>
      </c>
      <c r="T156" s="32">
        <v>2.209456473707468E-2</v>
      </c>
      <c r="U156" s="30"/>
      <c r="V156" s="36">
        <v>226</v>
      </c>
      <c r="W156" s="36">
        <v>225</v>
      </c>
      <c r="X156" s="36">
        <v>225</v>
      </c>
      <c r="Y156" s="36">
        <v>226</v>
      </c>
      <c r="Z156" s="36">
        <v>227</v>
      </c>
      <c r="AA156" s="36">
        <v>228</v>
      </c>
      <c r="AB156" s="36">
        <v>228</v>
      </c>
      <c r="AC156" s="36">
        <v>224</v>
      </c>
      <c r="AD156" s="36">
        <v>224</v>
      </c>
      <c r="AE156" s="36">
        <v>224</v>
      </c>
      <c r="AF156" s="36">
        <v>223</v>
      </c>
      <c r="AG156" s="36">
        <v>227</v>
      </c>
      <c r="AH156" s="36">
        <v>227</v>
      </c>
      <c r="AI156" s="36">
        <v>227</v>
      </c>
      <c r="AJ156" s="36">
        <v>227</v>
      </c>
      <c r="AK156" s="36">
        <v>227</v>
      </c>
      <c r="AL156" s="36">
        <v>228</v>
      </c>
      <c r="AM156" s="36">
        <v>229</v>
      </c>
      <c r="AN156" s="36">
        <v>227</v>
      </c>
      <c r="AO156" s="36">
        <v>228</v>
      </c>
      <c r="AP156" s="36">
        <v>229</v>
      </c>
      <c r="AQ156" s="36">
        <v>228</v>
      </c>
      <c r="AR156" s="36">
        <v>226</v>
      </c>
      <c r="AS156" s="36">
        <v>226</v>
      </c>
      <c r="AT156" s="36">
        <v>228</v>
      </c>
      <c r="AU156" s="36">
        <v>227</v>
      </c>
      <c r="AV156" s="36">
        <v>227</v>
      </c>
      <c r="AW156" s="36">
        <v>226</v>
      </c>
      <c r="AX156" s="36">
        <v>226</v>
      </c>
      <c r="AY156" s="36">
        <v>226</v>
      </c>
      <c r="AZ156" s="36">
        <v>225</v>
      </c>
      <c r="BA156" s="36">
        <v>228</v>
      </c>
      <c r="BB156" s="36">
        <v>226</v>
      </c>
      <c r="BC156" s="36">
        <v>226</v>
      </c>
      <c r="BD156" s="36">
        <v>226</v>
      </c>
      <c r="BE156" s="36">
        <v>227</v>
      </c>
      <c r="BF156" s="36">
        <v>228</v>
      </c>
      <c r="BG156" s="36">
        <v>227</v>
      </c>
      <c r="BH156" s="36">
        <v>228</v>
      </c>
      <c r="BI156" s="36">
        <v>227</v>
      </c>
      <c r="BJ156" s="36">
        <v>228</v>
      </c>
      <c r="BK156" s="36">
        <v>220</v>
      </c>
      <c r="BL156" s="36">
        <v>226</v>
      </c>
      <c r="BM156" s="36">
        <v>226</v>
      </c>
      <c r="BN156" s="36">
        <v>226</v>
      </c>
      <c r="BO156" s="36">
        <v>227</v>
      </c>
      <c r="BP156" s="36">
        <v>225</v>
      </c>
      <c r="BQ156" s="36">
        <v>225</v>
      </c>
      <c r="BR156" s="36">
        <v>227</v>
      </c>
      <c r="BS156" s="36">
        <v>226</v>
      </c>
      <c r="BT156" s="36">
        <v>231</v>
      </c>
      <c r="BU156" s="36">
        <v>228</v>
      </c>
      <c r="BV156" s="36">
        <v>224</v>
      </c>
      <c r="BW156" s="36">
        <v>224</v>
      </c>
      <c r="BX156" s="36">
        <v>227</v>
      </c>
      <c r="BY156" s="36">
        <v>223</v>
      </c>
      <c r="BZ156" s="36">
        <v>224</v>
      </c>
      <c r="CA156" s="36">
        <v>224</v>
      </c>
      <c r="CB156" s="36">
        <v>229</v>
      </c>
      <c r="CC156" s="36">
        <v>224</v>
      </c>
    </row>
    <row r="157" spans="1:81" x14ac:dyDescent="0.25">
      <c r="A157" s="21" t="s">
        <v>313</v>
      </c>
      <c r="B157" s="22">
        <v>1</v>
      </c>
      <c r="C157" s="21" t="s">
        <v>314</v>
      </c>
      <c r="D157" s="23">
        <v>13619</v>
      </c>
      <c r="E157" s="24">
        <v>59.988033899999998</v>
      </c>
      <c r="F157" s="25">
        <v>0</v>
      </c>
      <c r="G157" s="21" t="s">
        <v>252</v>
      </c>
      <c r="H157" s="26">
        <v>227.02861078432511</v>
      </c>
      <c r="I157" s="24">
        <v>229.44726154693339</v>
      </c>
      <c r="J157" s="24">
        <v>178.3234952261017</v>
      </c>
      <c r="K157" s="24">
        <v>159.10634674580729</v>
      </c>
      <c r="L157" s="24">
        <v>158.30264900320151</v>
      </c>
      <c r="M157" s="24">
        <v>81.994230885914845</v>
      </c>
      <c r="N157" s="24">
        <v>41.719163280461252</v>
      </c>
      <c r="O157" s="24">
        <v>480.51511220027868</v>
      </c>
      <c r="P157" s="27">
        <v>4.4047311770320876</v>
      </c>
      <c r="Q157" s="27">
        <v>0.48121598241964242</v>
      </c>
      <c r="R157" s="24">
        <v>10.924979597594559</v>
      </c>
      <c r="S157" s="24">
        <v>2.202966661771185E-2</v>
      </c>
      <c r="T157" s="24">
        <v>2.2028049049122551E-2</v>
      </c>
      <c r="U157" s="22"/>
      <c r="V157" s="28">
        <v>228</v>
      </c>
      <c r="W157" s="28">
        <v>228</v>
      </c>
      <c r="X157" s="28">
        <v>229</v>
      </c>
      <c r="Y157" s="28">
        <v>223</v>
      </c>
      <c r="Z157" s="28">
        <v>228</v>
      </c>
      <c r="AA157" s="28">
        <v>226</v>
      </c>
      <c r="AB157" s="28">
        <v>230</v>
      </c>
      <c r="AC157" s="28">
        <v>229</v>
      </c>
      <c r="AD157" s="28">
        <v>230</v>
      </c>
      <c r="AE157" s="28">
        <v>227</v>
      </c>
      <c r="AF157" s="28">
        <v>231</v>
      </c>
      <c r="AG157" s="28">
        <v>227</v>
      </c>
      <c r="AH157" s="28">
        <v>229</v>
      </c>
      <c r="AI157" s="28">
        <v>226</v>
      </c>
      <c r="AJ157" s="28">
        <v>227</v>
      </c>
      <c r="AK157" s="28">
        <v>228</v>
      </c>
      <c r="AL157" s="28">
        <v>229</v>
      </c>
      <c r="AM157" s="28">
        <v>225</v>
      </c>
      <c r="AN157" s="28">
        <v>229</v>
      </c>
      <c r="AO157" s="28">
        <v>226</v>
      </c>
      <c r="AP157" s="28">
        <v>223</v>
      </c>
      <c r="AQ157" s="28">
        <v>226</v>
      </c>
      <c r="AR157" s="28">
        <v>228</v>
      </c>
      <c r="AS157" s="28">
        <v>227</v>
      </c>
      <c r="AT157" s="28">
        <v>226</v>
      </c>
      <c r="AU157" s="28">
        <v>227</v>
      </c>
      <c r="AV157" s="28">
        <v>226</v>
      </c>
      <c r="AW157" s="28">
        <v>229</v>
      </c>
      <c r="AX157" s="28">
        <v>227</v>
      </c>
      <c r="AY157" s="28">
        <v>229</v>
      </c>
      <c r="AZ157" s="28">
        <v>228</v>
      </c>
      <c r="BA157" s="28">
        <v>231</v>
      </c>
      <c r="BB157" s="28">
        <v>227</v>
      </c>
      <c r="BC157" s="28">
        <v>225</v>
      </c>
      <c r="BD157" s="28">
        <v>228</v>
      </c>
      <c r="BE157" s="28">
        <v>227</v>
      </c>
      <c r="BF157" s="28">
        <v>227</v>
      </c>
      <c r="BG157" s="28">
        <v>227</v>
      </c>
      <c r="BH157" s="28">
        <v>227</v>
      </c>
      <c r="BI157" s="28">
        <v>230</v>
      </c>
      <c r="BJ157" s="28">
        <v>230</v>
      </c>
      <c r="BK157" s="28">
        <v>227</v>
      </c>
      <c r="BL157" s="28">
        <v>229</v>
      </c>
      <c r="BM157" s="28">
        <v>226</v>
      </c>
      <c r="BN157" s="28">
        <v>227</v>
      </c>
      <c r="BO157" s="28">
        <v>229</v>
      </c>
      <c r="BP157" s="28">
        <v>227</v>
      </c>
      <c r="BQ157" s="28">
        <v>230</v>
      </c>
      <c r="BR157" s="28">
        <v>225</v>
      </c>
      <c r="BS157" s="28">
        <v>223</v>
      </c>
      <c r="BT157" s="28">
        <v>223</v>
      </c>
      <c r="BU157" s="28">
        <v>223</v>
      </c>
      <c r="BV157" s="28">
        <v>223</v>
      </c>
      <c r="BW157" s="28">
        <v>222</v>
      </c>
      <c r="BX157" s="28">
        <v>224</v>
      </c>
      <c r="BY157" s="28">
        <v>228</v>
      </c>
      <c r="BZ157" s="28">
        <v>226</v>
      </c>
      <c r="CA157" s="28">
        <v>226</v>
      </c>
      <c r="CB157" s="28">
        <v>227</v>
      </c>
      <c r="CC157" s="28">
        <v>224</v>
      </c>
    </row>
    <row r="158" spans="1:81" x14ac:dyDescent="0.25">
      <c r="A158" s="21" t="s">
        <v>313</v>
      </c>
      <c r="B158" s="22">
        <v>2</v>
      </c>
      <c r="C158" s="21" t="s">
        <v>314</v>
      </c>
      <c r="D158" s="23">
        <v>13570</v>
      </c>
      <c r="E158" s="24">
        <v>59.9827607</v>
      </c>
      <c r="F158" s="25">
        <v>0</v>
      </c>
      <c r="G158" s="21" t="s">
        <v>252</v>
      </c>
      <c r="H158" s="26">
        <v>226.23166792654811</v>
      </c>
      <c r="I158" s="24">
        <v>228.09958828024321</v>
      </c>
      <c r="J158" s="24">
        <v>176.1056352042209</v>
      </c>
      <c r="K158" s="24">
        <v>159.14576663666759</v>
      </c>
      <c r="L158" s="24">
        <v>157.9368066574188</v>
      </c>
      <c r="M158" s="24">
        <v>90.310442144873008</v>
      </c>
      <c r="N158" s="24">
        <v>39.543353355451252</v>
      </c>
      <c r="O158" s="24">
        <v>427.60626015564873</v>
      </c>
      <c r="P158" s="27">
        <v>4.4202476565954312</v>
      </c>
      <c r="Q158" s="27">
        <v>0.48945847735045239</v>
      </c>
      <c r="R158" s="24">
        <v>11.07310077117814</v>
      </c>
      <c r="S158" s="24">
        <v>2.2109219544550082E-2</v>
      </c>
      <c r="T158" s="24">
        <v>2.9476787030213711E-2</v>
      </c>
      <c r="U158" s="22"/>
      <c r="V158" s="28">
        <v>226</v>
      </c>
      <c r="W158" s="28">
        <v>228</v>
      </c>
      <c r="X158" s="28">
        <v>229</v>
      </c>
      <c r="Y158" s="28">
        <v>226</v>
      </c>
      <c r="Z158" s="28">
        <v>226</v>
      </c>
      <c r="AA158" s="28">
        <v>226</v>
      </c>
      <c r="AB158" s="28">
        <v>219</v>
      </c>
      <c r="AC158" s="28">
        <v>231</v>
      </c>
      <c r="AD158" s="28">
        <v>229</v>
      </c>
      <c r="AE158" s="28">
        <v>224</v>
      </c>
      <c r="AF158" s="28">
        <v>226</v>
      </c>
      <c r="AG158" s="28">
        <v>227</v>
      </c>
      <c r="AH158" s="28">
        <v>226</v>
      </c>
      <c r="AI158" s="28">
        <v>228</v>
      </c>
      <c r="AJ158" s="28">
        <v>227</v>
      </c>
      <c r="AK158" s="28">
        <v>225</v>
      </c>
      <c r="AL158" s="28">
        <v>229</v>
      </c>
      <c r="AM158" s="28">
        <v>224</v>
      </c>
      <c r="AN158" s="28">
        <v>226</v>
      </c>
      <c r="AO158" s="28">
        <v>224</v>
      </c>
      <c r="AP158" s="28">
        <v>224</v>
      </c>
      <c r="AQ158" s="28">
        <v>227</v>
      </c>
      <c r="AR158" s="28">
        <v>225</v>
      </c>
      <c r="AS158" s="28">
        <v>227</v>
      </c>
      <c r="AT158" s="28">
        <v>227</v>
      </c>
      <c r="AU158" s="28">
        <v>228</v>
      </c>
      <c r="AV158" s="28">
        <v>228</v>
      </c>
      <c r="AW158" s="28">
        <v>227</v>
      </c>
      <c r="AX158" s="28">
        <v>229</v>
      </c>
      <c r="AY158" s="28">
        <v>224</v>
      </c>
      <c r="AZ158" s="28">
        <v>226</v>
      </c>
      <c r="BA158" s="28">
        <v>227</v>
      </c>
      <c r="BB158" s="28">
        <v>226</v>
      </c>
      <c r="BC158" s="28">
        <v>227</v>
      </c>
      <c r="BD158" s="28">
        <v>226</v>
      </c>
      <c r="BE158" s="28">
        <v>226</v>
      </c>
      <c r="BF158" s="28">
        <v>226</v>
      </c>
      <c r="BG158" s="28">
        <v>224</v>
      </c>
      <c r="BH158" s="28">
        <v>224</v>
      </c>
      <c r="BI158" s="28">
        <v>224</v>
      </c>
      <c r="BJ158" s="28">
        <v>226</v>
      </c>
      <c r="BK158" s="28">
        <v>226</v>
      </c>
      <c r="BL158" s="28">
        <v>226</v>
      </c>
      <c r="BM158" s="28">
        <v>225</v>
      </c>
      <c r="BN158" s="28">
        <v>228</v>
      </c>
      <c r="BO158" s="28">
        <v>225</v>
      </c>
      <c r="BP158" s="28">
        <v>229</v>
      </c>
      <c r="BQ158" s="28">
        <v>227</v>
      </c>
      <c r="BR158" s="28">
        <v>226</v>
      </c>
      <c r="BS158" s="28">
        <v>224</v>
      </c>
      <c r="BT158" s="28">
        <v>226</v>
      </c>
      <c r="BU158" s="28">
        <v>225</v>
      </c>
      <c r="BV158" s="28">
        <v>227</v>
      </c>
      <c r="BW158" s="28">
        <v>227</v>
      </c>
      <c r="BX158" s="28">
        <v>226</v>
      </c>
      <c r="BY158" s="28">
        <v>228</v>
      </c>
      <c r="BZ158" s="28">
        <v>227</v>
      </c>
      <c r="CA158" s="28">
        <v>226</v>
      </c>
      <c r="CB158" s="28">
        <v>229</v>
      </c>
      <c r="CC158" s="28">
        <v>219</v>
      </c>
    </row>
    <row r="159" spans="1:81" x14ac:dyDescent="0.25">
      <c r="A159" s="21" t="s">
        <v>313</v>
      </c>
      <c r="B159" s="22">
        <v>3</v>
      </c>
      <c r="C159" s="21" t="s">
        <v>314</v>
      </c>
      <c r="D159" s="23">
        <v>13582</v>
      </c>
      <c r="E159" s="24">
        <v>59.983390300000003</v>
      </c>
      <c r="F159" s="25">
        <v>0</v>
      </c>
      <c r="G159" s="21" t="s">
        <v>252</v>
      </c>
      <c r="H159" s="26">
        <v>226.4293487258922</v>
      </c>
      <c r="I159" s="24">
        <v>228.17505590288869</v>
      </c>
      <c r="J159" s="24">
        <v>176.20543015798219</v>
      </c>
      <c r="K159" s="24">
        <v>154.7610248349325</v>
      </c>
      <c r="L159" s="24">
        <v>155.3939898894719</v>
      </c>
      <c r="M159" s="24">
        <v>80.235056621879465</v>
      </c>
      <c r="N159" s="24">
        <v>37.585083232166816</v>
      </c>
      <c r="O159" s="24">
        <v>391.02213185266288</v>
      </c>
      <c r="P159" s="27">
        <v>4.4163886246502724</v>
      </c>
      <c r="Q159" s="27">
        <v>0.4961230311575478</v>
      </c>
      <c r="R159" s="24">
        <v>11.23368148329191</v>
      </c>
      <c r="S159" s="24">
        <v>2.9452912156689489E-2</v>
      </c>
      <c r="T159" s="24">
        <v>2.2088057723457521E-2</v>
      </c>
      <c r="U159" s="22"/>
      <c r="V159" s="28">
        <v>228</v>
      </c>
      <c r="W159" s="28">
        <v>228</v>
      </c>
      <c r="X159" s="28">
        <v>224</v>
      </c>
      <c r="Y159" s="28">
        <v>226</v>
      </c>
      <c r="Z159" s="28">
        <v>224</v>
      </c>
      <c r="AA159" s="28">
        <v>224</v>
      </c>
      <c r="AB159" s="28">
        <v>227</v>
      </c>
      <c r="AC159" s="28">
        <v>229</v>
      </c>
      <c r="AD159" s="28">
        <v>227</v>
      </c>
      <c r="AE159" s="28">
        <v>227</v>
      </c>
      <c r="AF159" s="28">
        <v>226</v>
      </c>
      <c r="AG159" s="28">
        <v>226</v>
      </c>
      <c r="AH159" s="28">
        <v>225</v>
      </c>
      <c r="AI159" s="28">
        <v>226</v>
      </c>
      <c r="AJ159" s="28">
        <v>225</v>
      </c>
      <c r="AK159" s="28">
        <v>227</v>
      </c>
      <c r="AL159" s="28">
        <v>227</v>
      </c>
      <c r="AM159" s="28">
        <v>226</v>
      </c>
      <c r="AN159" s="28">
        <v>225</v>
      </c>
      <c r="AO159" s="28">
        <v>228</v>
      </c>
      <c r="AP159" s="28">
        <v>225</v>
      </c>
      <c r="AQ159" s="28">
        <v>227</v>
      </c>
      <c r="AR159" s="28">
        <v>225</v>
      </c>
      <c r="AS159" s="28">
        <v>228</v>
      </c>
      <c r="AT159" s="28">
        <v>221</v>
      </c>
      <c r="AU159" s="28">
        <v>226</v>
      </c>
      <c r="AV159" s="28">
        <v>226</v>
      </c>
      <c r="AW159" s="28">
        <v>227</v>
      </c>
      <c r="AX159" s="28">
        <v>226</v>
      </c>
      <c r="AY159" s="28">
        <v>227</v>
      </c>
      <c r="AZ159" s="28">
        <v>227</v>
      </c>
      <c r="BA159" s="28">
        <v>228</v>
      </c>
      <c r="BB159" s="28">
        <v>227</v>
      </c>
      <c r="BC159" s="28">
        <v>228</v>
      </c>
      <c r="BD159" s="28">
        <v>223</v>
      </c>
      <c r="BE159" s="28">
        <v>226</v>
      </c>
      <c r="BF159" s="28">
        <v>228</v>
      </c>
      <c r="BG159" s="28">
        <v>225</v>
      </c>
      <c r="BH159" s="28">
        <v>226</v>
      </c>
      <c r="BI159" s="28">
        <v>227</v>
      </c>
      <c r="BJ159" s="28">
        <v>228</v>
      </c>
      <c r="BK159" s="28">
        <v>230</v>
      </c>
      <c r="BL159" s="28">
        <v>225</v>
      </c>
      <c r="BM159" s="28">
        <v>230</v>
      </c>
      <c r="BN159" s="28">
        <v>223</v>
      </c>
      <c r="BO159" s="28">
        <v>229</v>
      </c>
      <c r="BP159" s="28">
        <v>229</v>
      </c>
      <c r="BQ159" s="28">
        <v>231</v>
      </c>
      <c r="BR159" s="28">
        <v>229</v>
      </c>
      <c r="BS159" s="28">
        <v>228</v>
      </c>
      <c r="BT159" s="28">
        <v>228</v>
      </c>
      <c r="BU159" s="28">
        <v>226</v>
      </c>
      <c r="BV159" s="28">
        <v>225</v>
      </c>
      <c r="BW159" s="28">
        <v>228</v>
      </c>
      <c r="BX159" s="28">
        <v>220</v>
      </c>
      <c r="BY159" s="28">
        <v>227</v>
      </c>
      <c r="BZ159" s="28">
        <v>221</v>
      </c>
      <c r="CA159" s="28">
        <v>224</v>
      </c>
      <c r="CB159" s="28">
        <v>229</v>
      </c>
      <c r="CC159" s="28">
        <v>224</v>
      </c>
    </row>
    <row r="160" spans="1:81" x14ac:dyDescent="0.25">
      <c r="A160" s="21" t="s">
        <v>313</v>
      </c>
      <c r="B160" s="22">
        <v>4</v>
      </c>
      <c r="C160" s="21" t="s">
        <v>314</v>
      </c>
      <c r="D160" s="23">
        <v>13603</v>
      </c>
      <c r="E160" s="24">
        <v>59.999455900000001</v>
      </c>
      <c r="F160" s="25">
        <v>0</v>
      </c>
      <c r="G160" s="21" t="s">
        <v>252</v>
      </c>
      <c r="H160" s="26">
        <v>226.71872262761639</v>
      </c>
      <c r="I160" s="24">
        <v>228.36263987211689</v>
      </c>
      <c r="J160" s="24">
        <v>177.2066211481926</v>
      </c>
      <c r="K160" s="24">
        <v>158.17724639924501</v>
      </c>
      <c r="L160" s="24">
        <v>158.6514101300908</v>
      </c>
      <c r="M160" s="24">
        <v>90.929618959431735</v>
      </c>
      <c r="N160" s="24">
        <v>38.75398197164759</v>
      </c>
      <c r="O160" s="24">
        <v>339.24754893645888</v>
      </c>
      <c r="P160" s="27">
        <v>4.4107517385870763</v>
      </c>
      <c r="Q160" s="27">
        <v>0.48704468546916407</v>
      </c>
      <c r="R160" s="24">
        <v>11.04221489521381</v>
      </c>
      <c r="S160" s="24">
        <v>2.205558006175562E-2</v>
      </c>
      <c r="T160" s="24">
        <v>2.205395868558406E-2</v>
      </c>
      <c r="U160" s="22"/>
      <c r="V160" s="28">
        <v>226</v>
      </c>
      <c r="W160" s="28">
        <v>230</v>
      </c>
      <c r="X160" s="28">
        <v>226</v>
      </c>
      <c r="Y160" s="28">
        <v>226</v>
      </c>
      <c r="Z160" s="28">
        <v>227</v>
      </c>
      <c r="AA160" s="28">
        <v>225</v>
      </c>
      <c r="AB160" s="28">
        <v>225</v>
      </c>
      <c r="AC160" s="28">
        <v>226</v>
      </c>
      <c r="AD160" s="28">
        <v>226</v>
      </c>
      <c r="AE160" s="28">
        <v>225</v>
      </c>
      <c r="AF160" s="28">
        <v>222</v>
      </c>
      <c r="AG160" s="28">
        <v>228</v>
      </c>
      <c r="AH160" s="28">
        <v>228</v>
      </c>
      <c r="AI160" s="28">
        <v>228</v>
      </c>
      <c r="AJ160" s="28">
        <v>227</v>
      </c>
      <c r="AK160" s="28">
        <v>226</v>
      </c>
      <c r="AL160" s="28">
        <v>227</v>
      </c>
      <c r="AM160" s="28">
        <v>227</v>
      </c>
      <c r="AN160" s="28">
        <v>227</v>
      </c>
      <c r="AO160" s="28">
        <v>225</v>
      </c>
      <c r="AP160" s="28">
        <v>222</v>
      </c>
      <c r="AQ160" s="28">
        <v>226</v>
      </c>
      <c r="AR160" s="28">
        <v>228</v>
      </c>
      <c r="AS160" s="28">
        <v>226</v>
      </c>
      <c r="AT160" s="28">
        <v>227</v>
      </c>
      <c r="AU160" s="28">
        <v>227</v>
      </c>
      <c r="AV160" s="28">
        <v>227</v>
      </c>
      <c r="AW160" s="28">
        <v>227</v>
      </c>
      <c r="AX160" s="28">
        <v>228</v>
      </c>
      <c r="AY160" s="28">
        <v>228</v>
      </c>
      <c r="AZ160" s="28">
        <v>225</v>
      </c>
      <c r="BA160" s="28">
        <v>228</v>
      </c>
      <c r="BB160" s="28">
        <v>227</v>
      </c>
      <c r="BC160" s="28">
        <v>225</v>
      </c>
      <c r="BD160" s="28">
        <v>227</v>
      </c>
      <c r="BE160" s="28">
        <v>228</v>
      </c>
      <c r="BF160" s="28">
        <v>227</v>
      </c>
      <c r="BG160" s="28">
        <v>227</v>
      </c>
      <c r="BH160" s="28">
        <v>227</v>
      </c>
      <c r="BI160" s="28">
        <v>227</v>
      </c>
      <c r="BJ160" s="28">
        <v>216</v>
      </c>
      <c r="BK160" s="28">
        <v>229</v>
      </c>
      <c r="BL160" s="28">
        <v>230</v>
      </c>
      <c r="BM160" s="28">
        <v>230</v>
      </c>
      <c r="BN160" s="28">
        <v>229</v>
      </c>
      <c r="BO160" s="28">
        <v>230</v>
      </c>
      <c r="BP160" s="28">
        <v>228</v>
      </c>
      <c r="BQ160" s="28">
        <v>229</v>
      </c>
      <c r="BR160" s="28">
        <v>226</v>
      </c>
      <c r="BS160" s="28">
        <v>227</v>
      </c>
      <c r="BT160" s="28">
        <v>221</v>
      </c>
      <c r="BU160" s="28">
        <v>225</v>
      </c>
      <c r="BV160" s="28">
        <v>227</v>
      </c>
      <c r="BW160" s="28">
        <v>229</v>
      </c>
      <c r="BX160" s="28">
        <v>229</v>
      </c>
      <c r="BY160" s="28">
        <v>227</v>
      </c>
      <c r="BZ160" s="28">
        <v>228</v>
      </c>
      <c r="CA160" s="28">
        <v>226</v>
      </c>
      <c r="CB160" s="28">
        <v>228</v>
      </c>
      <c r="CC160" s="28">
        <v>228</v>
      </c>
    </row>
    <row r="161" spans="1:81" x14ac:dyDescent="0.25">
      <c r="A161" s="21" t="s">
        <v>313</v>
      </c>
      <c r="B161" s="22">
        <v>5</v>
      </c>
      <c r="C161" s="21" t="s">
        <v>314</v>
      </c>
      <c r="D161" s="23">
        <v>13502</v>
      </c>
      <c r="E161" s="24">
        <v>59.993744</v>
      </c>
      <c r="F161" s="25">
        <v>0</v>
      </c>
      <c r="G161" s="21" t="s">
        <v>252</v>
      </c>
      <c r="H161" s="26">
        <v>225.05679925560241</v>
      </c>
      <c r="I161" s="24">
        <v>226.8448154617426</v>
      </c>
      <c r="J161" s="24">
        <v>175.53501756842229</v>
      </c>
      <c r="K161" s="24">
        <v>155.165629844753</v>
      </c>
      <c r="L161" s="24">
        <v>152.70310218011889</v>
      </c>
      <c r="M161" s="24">
        <v>73.138871701254033</v>
      </c>
      <c r="N161" s="24">
        <v>42.847104392685146</v>
      </c>
      <c r="O161" s="24">
        <v>390.57922899660201</v>
      </c>
      <c r="P161" s="27">
        <v>4.4433227669974817</v>
      </c>
      <c r="Q161" s="27">
        <v>0.50321645322882125</v>
      </c>
      <c r="R161" s="24">
        <v>11.325228429643509</v>
      </c>
      <c r="S161" s="24">
        <v>2.9627435004814458E-2</v>
      </c>
      <c r="T161" s="24">
        <v>4.4437861057621091E-2</v>
      </c>
      <c r="U161" s="22"/>
      <c r="V161" s="28">
        <v>221</v>
      </c>
      <c r="W161" s="28">
        <v>214</v>
      </c>
      <c r="X161" s="28">
        <v>215</v>
      </c>
      <c r="Y161" s="28">
        <v>219</v>
      </c>
      <c r="Z161" s="28">
        <v>227</v>
      </c>
      <c r="AA161" s="28">
        <v>224</v>
      </c>
      <c r="AB161" s="28">
        <v>225</v>
      </c>
      <c r="AC161" s="28">
        <v>226</v>
      </c>
      <c r="AD161" s="28">
        <v>228</v>
      </c>
      <c r="AE161" s="28">
        <v>227</v>
      </c>
      <c r="AF161" s="28">
        <v>228</v>
      </c>
      <c r="AG161" s="28">
        <v>227</v>
      </c>
      <c r="AH161" s="28">
        <v>228</v>
      </c>
      <c r="AI161" s="28">
        <v>229</v>
      </c>
      <c r="AJ161" s="28">
        <v>225</v>
      </c>
      <c r="AK161" s="28">
        <v>225</v>
      </c>
      <c r="AL161" s="28">
        <v>226</v>
      </c>
      <c r="AM161" s="28">
        <v>229</v>
      </c>
      <c r="AN161" s="28">
        <v>228</v>
      </c>
      <c r="AO161" s="28">
        <v>229</v>
      </c>
      <c r="AP161" s="28">
        <v>228</v>
      </c>
      <c r="AQ161" s="28">
        <v>225</v>
      </c>
      <c r="AR161" s="28">
        <v>225</v>
      </c>
      <c r="AS161" s="28">
        <v>226</v>
      </c>
      <c r="AT161" s="28">
        <v>225</v>
      </c>
      <c r="AU161" s="28">
        <v>222</v>
      </c>
      <c r="AV161" s="28">
        <v>223</v>
      </c>
      <c r="AW161" s="28">
        <v>220</v>
      </c>
      <c r="AX161" s="28">
        <v>227</v>
      </c>
      <c r="AY161" s="28">
        <v>227</v>
      </c>
      <c r="AZ161" s="28">
        <v>227</v>
      </c>
      <c r="BA161" s="28">
        <v>228</v>
      </c>
      <c r="BB161" s="28">
        <v>227</v>
      </c>
      <c r="BC161" s="28">
        <v>226</v>
      </c>
      <c r="BD161" s="28">
        <v>226</v>
      </c>
      <c r="BE161" s="28">
        <v>222</v>
      </c>
      <c r="BF161" s="28">
        <v>223</v>
      </c>
      <c r="BG161" s="28">
        <v>224</v>
      </c>
      <c r="BH161" s="28">
        <v>224</v>
      </c>
      <c r="BI161" s="28">
        <v>226</v>
      </c>
      <c r="BJ161" s="28">
        <v>226</v>
      </c>
      <c r="BK161" s="28">
        <v>225</v>
      </c>
      <c r="BL161" s="28">
        <v>226</v>
      </c>
      <c r="BM161" s="28">
        <v>226</v>
      </c>
      <c r="BN161" s="28">
        <v>226</v>
      </c>
      <c r="BO161" s="28">
        <v>222</v>
      </c>
      <c r="BP161" s="28">
        <v>228</v>
      </c>
      <c r="BQ161" s="28">
        <v>226</v>
      </c>
      <c r="BR161" s="28">
        <v>226</v>
      </c>
      <c r="BS161" s="28">
        <v>225</v>
      </c>
      <c r="BT161" s="28">
        <v>227</v>
      </c>
      <c r="BU161" s="28">
        <v>223</v>
      </c>
      <c r="BV161" s="28">
        <v>225</v>
      </c>
      <c r="BW161" s="28">
        <v>226</v>
      </c>
      <c r="BX161" s="28">
        <v>225</v>
      </c>
      <c r="BY161" s="28">
        <v>221</v>
      </c>
      <c r="BZ161" s="28">
        <v>225</v>
      </c>
      <c r="CA161" s="28">
        <v>224</v>
      </c>
      <c r="CB161" s="28">
        <v>225</v>
      </c>
      <c r="CC161" s="28">
        <v>224</v>
      </c>
    </row>
    <row r="162" spans="1:81" x14ac:dyDescent="0.25">
      <c r="A162" s="13" t="s">
        <v>315</v>
      </c>
      <c r="B162" s="14">
        <v>1</v>
      </c>
      <c r="C162" s="13" t="s">
        <v>316</v>
      </c>
      <c r="D162" s="15">
        <v>13407</v>
      </c>
      <c r="E162" s="16">
        <v>59.990333499999998</v>
      </c>
      <c r="F162" s="17">
        <v>0</v>
      </c>
      <c r="G162" s="13" t="s">
        <v>252</v>
      </c>
      <c r="H162" s="18">
        <v>223.4860054578626</v>
      </c>
      <c r="I162" s="16">
        <v>225.67250406210511</v>
      </c>
      <c r="J162" s="16">
        <v>173.01062008390321</v>
      </c>
      <c r="K162" s="16">
        <v>151.6544852223459</v>
      </c>
      <c r="L162" s="16">
        <v>154.63279864747841</v>
      </c>
      <c r="M162" s="16">
        <v>94.382807227835386</v>
      </c>
      <c r="N162" s="16">
        <v>42.476192094331132</v>
      </c>
      <c r="O162" s="16">
        <v>440.17959327405578</v>
      </c>
      <c r="P162" s="19">
        <v>4.4745531065861117</v>
      </c>
      <c r="Q162" s="19">
        <v>0.49870669075176349</v>
      </c>
      <c r="R162" s="16">
        <v>11.145396621122121</v>
      </c>
      <c r="S162" s="16">
        <v>2.2378039683723708E-2</v>
      </c>
      <c r="T162" s="16">
        <v>1.4917580368464229E-2</v>
      </c>
      <c r="U162" s="14"/>
      <c r="V162" s="20">
        <v>225</v>
      </c>
      <c r="W162" s="20">
        <v>225</v>
      </c>
      <c r="X162" s="20">
        <v>226</v>
      </c>
      <c r="Y162" s="20">
        <v>226</v>
      </c>
      <c r="Z162" s="20">
        <v>226</v>
      </c>
      <c r="AA162" s="20">
        <v>225</v>
      </c>
      <c r="AB162" s="20">
        <v>224</v>
      </c>
      <c r="AC162" s="20">
        <v>223</v>
      </c>
      <c r="AD162" s="20">
        <v>225</v>
      </c>
      <c r="AE162" s="20">
        <v>224</v>
      </c>
      <c r="AF162" s="20">
        <v>225</v>
      </c>
      <c r="AG162" s="20">
        <v>224</v>
      </c>
      <c r="AH162" s="20">
        <v>226</v>
      </c>
      <c r="AI162" s="20">
        <v>223</v>
      </c>
      <c r="AJ162" s="20">
        <v>226</v>
      </c>
      <c r="AK162" s="20">
        <v>224</v>
      </c>
      <c r="AL162" s="20">
        <v>224</v>
      </c>
      <c r="AM162" s="20">
        <v>226</v>
      </c>
      <c r="AN162" s="20">
        <v>225</v>
      </c>
      <c r="AO162" s="20">
        <v>218</v>
      </c>
      <c r="AP162" s="20">
        <v>222</v>
      </c>
      <c r="AQ162" s="20">
        <v>225</v>
      </c>
      <c r="AR162" s="20">
        <v>225</v>
      </c>
      <c r="AS162" s="20">
        <v>223</v>
      </c>
      <c r="AT162" s="20">
        <v>225</v>
      </c>
      <c r="AU162" s="20">
        <v>224</v>
      </c>
      <c r="AV162" s="20">
        <v>224</v>
      </c>
      <c r="AW162" s="20">
        <v>215</v>
      </c>
      <c r="AX162" s="20">
        <v>214</v>
      </c>
      <c r="AY162" s="20">
        <v>217</v>
      </c>
      <c r="AZ162" s="20">
        <v>222</v>
      </c>
      <c r="BA162" s="20">
        <v>223</v>
      </c>
      <c r="BB162" s="20">
        <v>221</v>
      </c>
      <c r="BC162" s="20">
        <v>225</v>
      </c>
      <c r="BD162" s="20">
        <v>223</v>
      </c>
      <c r="BE162" s="20">
        <v>217</v>
      </c>
      <c r="BF162" s="20">
        <v>222</v>
      </c>
      <c r="BG162" s="20">
        <v>223</v>
      </c>
      <c r="BH162" s="20">
        <v>224</v>
      </c>
      <c r="BI162" s="20">
        <v>220</v>
      </c>
      <c r="BJ162" s="20">
        <v>225</v>
      </c>
      <c r="BK162" s="20">
        <v>226</v>
      </c>
      <c r="BL162" s="20">
        <v>225</v>
      </c>
      <c r="BM162" s="20">
        <v>225</v>
      </c>
      <c r="BN162" s="20">
        <v>225</v>
      </c>
      <c r="BO162" s="20">
        <v>224</v>
      </c>
      <c r="BP162" s="20">
        <v>223</v>
      </c>
      <c r="BQ162" s="20">
        <v>222</v>
      </c>
      <c r="BR162" s="20">
        <v>223</v>
      </c>
      <c r="BS162" s="20">
        <v>219</v>
      </c>
      <c r="BT162" s="20">
        <v>225</v>
      </c>
      <c r="BU162" s="20">
        <v>223</v>
      </c>
      <c r="BV162" s="20">
        <v>224</v>
      </c>
      <c r="BW162" s="20">
        <v>226</v>
      </c>
      <c r="BX162" s="20">
        <v>223</v>
      </c>
      <c r="BY162" s="20">
        <v>225</v>
      </c>
      <c r="BZ162" s="20">
        <v>227</v>
      </c>
      <c r="CA162" s="20">
        <v>226</v>
      </c>
      <c r="CB162" s="20">
        <v>226</v>
      </c>
      <c r="CC162" s="20">
        <v>221</v>
      </c>
    </row>
    <row r="163" spans="1:81" x14ac:dyDescent="0.25">
      <c r="A163" s="13" t="s">
        <v>315</v>
      </c>
      <c r="B163" s="14">
        <v>2</v>
      </c>
      <c r="C163" s="13" t="s">
        <v>316</v>
      </c>
      <c r="D163" s="15">
        <v>13434</v>
      </c>
      <c r="E163" s="16">
        <v>59.985078600000001</v>
      </c>
      <c r="F163" s="17">
        <v>0</v>
      </c>
      <c r="G163" s="13" t="s">
        <v>252</v>
      </c>
      <c r="H163" s="18">
        <v>223.95569554192431</v>
      </c>
      <c r="I163" s="16">
        <v>225.9274321088067</v>
      </c>
      <c r="J163" s="16">
        <v>176.0477835936141</v>
      </c>
      <c r="K163" s="16">
        <v>156.3767311236434</v>
      </c>
      <c r="L163" s="16">
        <v>155.78766075546409</v>
      </c>
      <c r="M163" s="16">
        <v>91.835797593902129</v>
      </c>
      <c r="N163" s="16">
        <v>44.024160459260038</v>
      </c>
      <c r="O163" s="16">
        <v>328.11628441119541</v>
      </c>
      <c r="P163" s="19">
        <v>4.4651688700312642</v>
      </c>
      <c r="Q163" s="19">
        <v>0.48665949017078991</v>
      </c>
      <c r="R163" s="16">
        <v>10.899016461327751</v>
      </c>
      <c r="S163" s="16">
        <v>1.4888706915804359E-2</v>
      </c>
      <c r="T163" s="16">
        <v>2.9775197260681851E-2</v>
      </c>
      <c r="U163" s="14"/>
      <c r="V163" s="20">
        <v>225</v>
      </c>
      <c r="W163" s="20">
        <v>225</v>
      </c>
      <c r="X163" s="20">
        <v>226</v>
      </c>
      <c r="Y163" s="20">
        <v>224</v>
      </c>
      <c r="Z163" s="20">
        <v>224</v>
      </c>
      <c r="AA163" s="20">
        <v>219</v>
      </c>
      <c r="AB163" s="20">
        <v>226</v>
      </c>
      <c r="AC163" s="20">
        <v>226</v>
      </c>
      <c r="AD163" s="20">
        <v>224</v>
      </c>
      <c r="AE163" s="20">
        <v>222</v>
      </c>
      <c r="AF163" s="20">
        <v>225</v>
      </c>
      <c r="AG163" s="20">
        <v>225</v>
      </c>
      <c r="AH163" s="20">
        <v>225</v>
      </c>
      <c r="AI163" s="20">
        <v>224</v>
      </c>
      <c r="AJ163" s="20">
        <v>224</v>
      </c>
      <c r="AK163" s="20">
        <v>220</v>
      </c>
      <c r="AL163" s="20">
        <v>226</v>
      </c>
      <c r="AM163" s="20">
        <v>225</v>
      </c>
      <c r="AN163" s="20">
        <v>226</v>
      </c>
      <c r="AO163" s="20">
        <v>223</v>
      </c>
      <c r="AP163" s="20">
        <v>221</v>
      </c>
      <c r="AQ163" s="20">
        <v>215</v>
      </c>
      <c r="AR163" s="20">
        <v>224</v>
      </c>
      <c r="AS163" s="20">
        <v>225</v>
      </c>
      <c r="AT163" s="20">
        <v>222</v>
      </c>
      <c r="AU163" s="20">
        <v>224</v>
      </c>
      <c r="AV163" s="20">
        <v>224</v>
      </c>
      <c r="AW163" s="20">
        <v>226</v>
      </c>
      <c r="AX163" s="20">
        <v>226</v>
      </c>
      <c r="AY163" s="20">
        <v>227</v>
      </c>
      <c r="AZ163" s="20">
        <v>225</v>
      </c>
      <c r="BA163" s="20">
        <v>224</v>
      </c>
      <c r="BB163" s="20">
        <v>224</v>
      </c>
      <c r="BC163" s="20">
        <v>225</v>
      </c>
      <c r="BD163" s="20">
        <v>224</v>
      </c>
      <c r="BE163" s="20">
        <v>218</v>
      </c>
      <c r="BF163" s="20">
        <v>225</v>
      </c>
      <c r="BG163" s="20">
        <v>224</v>
      </c>
      <c r="BH163" s="20">
        <v>225</v>
      </c>
      <c r="BI163" s="20">
        <v>226</v>
      </c>
      <c r="BJ163" s="20">
        <v>225</v>
      </c>
      <c r="BK163" s="20">
        <v>226</v>
      </c>
      <c r="BL163" s="20">
        <v>224</v>
      </c>
      <c r="BM163" s="20">
        <v>226</v>
      </c>
      <c r="BN163" s="20">
        <v>227</v>
      </c>
      <c r="BO163" s="20">
        <v>223</v>
      </c>
      <c r="BP163" s="20">
        <v>225</v>
      </c>
      <c r="BQ163" s="20">
        <v>225</v>
      </c>
      <c r="BR163" s="20">
        <v>227</v>
      </c>
      <c r="BS163" s="20">
        <v>226</v>
      </c>
      <c r="BT163" s="20">
        <v>225</v>
      </c>
      <c r="BU163" s="20">
        <v>226</v>
      </c>
      <c r="BV163" s="20">
        <v>222</v>
      </c>
      <c r="BW163" s="20">
        <v>226</v>
      </c>
      <c r="BX163" s="20">
        <v>224</v>
      </c>
      <c r="BY163" s="20">
        <v>222</v>
      </c>
      <c r="BZ163" s="20">
        <v>227</v>
      </c>
      <c r="CA163" s="20">
        <v>217</v>
      </c>
      <c r="CB163" s="20">
        <v>220</v>
      </c>
      <c r="CC163" s="20">
        <v>213</v>
      </c>
    </row>
    <row r="164" spans="1:81" x14ac:dyDescent="0.25">
      <c r="A164" s="13" t="s">
        <v>315</v>
      </c>
      <c r="B164" s="14">
        <v>3</v>
      </c>
      <c r="C164" s="13" t="s">
        <v>316</v>
      </c>
      <c r="D164" s="15">
        <v>13405</v>
      </c>
      <c r="E164" s="16">
        <v>60.003140199999997</v>
      </c>
      <c r="F164" s="17">
        <v>0</v>
      </c>
      <c r="G164" s="13" t="s">
        <v>252</v>
      </c>
      <c r="H164" s="18">
        <v>223.40497439499009</v>
      </c>
      <c r="I164" s="16">
        <v>225.5808707421611</v>
      </c>
      <c r="J164" s="16">
        <v>173.55494680193769</v>
      </c>
      <c r="K164" s="16">
        <v>156.56879363493991</v>
      </c>
      <c r="L164" s="16">
        <v>157.85154411211249</v>
      </c>
      <c r="M164" s="16">
        <v>99.465043839218069</v>
      </c>
      <c r="N164" s="16">
        <v>42.209587485701498</v>
      </c>
      <c r="O164" s="16">
        <v>381.14113656286918</v>
      </c>
      <c r="P164" s="19">
        <v>4.4761760686311076</v>
      </c>
      <c r="Q164" s="19">
        <v>0.49807658968575153</v>
      </c>
      <c r="R164" s="16">
        <v>11.12727877654893</v>
      </c>
      <c r="S164" s="16">
        <v>7.460459564309161E-3</v>
      </c>
      <c r="T164" s="16">
        <v>7.4599030212607236E-3</v>
      </c>
      <c r="U164" s="14"/>
      <c r="V164" s="20">
        <v>220</v>
      </c>
      <c r="W164" s="20">
        <v>222</v>
      </c>
      <c r="X164" s="20">
        <v>226</v>
      </c>
      <c r="Y164" s="20">
        <v>219</v>
      </c>
      <c r="Z164" s="20">
        <v>223</v>
      </c>
      <c r="AA164" s="20">
        <v>218</v>
      </c>
      <c r="AB164" s="20">
        <v>217</v>
      </c>
      <c r="AC164" s="20">
        <v>223</v>
      </c>
      <c r="AD164" s="20">
        <v>215</v>
      </c>
      <c r="AE164" s="20">
        <v>213</v>
      </c>
      <c r="AF164" s="20">
        <v>207</v>
      </c>
      <c r="AG164" s="20">
        <v>215</v>
      </c>
      <c r="AH164" s="20">
        <v>222</v>
      </c>
      <c r="AI164" s="20">
        <v>219</v>
      </c>
      <c r="AJ164" s="20">
        <v>218</v>
      </c>
      <c r="AK164" s="20">
        <v>224</v>
      </c>
      <c r="AL164" s="20">
        <v>224</v>
      </c>
      <c r="AM164" s="20">
        <v>226</v>
      </c>
      <c r="AN164" s="20">
        <v>223</v>
      </c>
      <c r="AO164" s="20">
        <v>222</v>
      </c>
      <c r="AP164" s="20">
        <v>219</v>
      </c>
      <c r="AQ164" s="20">
        <v>224</v>
      </c>
      <c r="AR164" s="20">
        <v>224</v>
      </c>
      <c r="AS164" s="20">
        <v>224</v>
      </c>
      <c r="AT164" s="20">
        <v>227</v>
      </c>
      <c r="AU164" s="20">
        <v>225</v>
      </c>
      <c r="AV164" s="20">
        <v>226</v>
      </c>
      <c r="AW164" s="20">
        <v>225</v>
      </c>
      <c r="AX164" s="20">
        <v>227</v>
      </c>
      <c r="AY164" s="20">
        <v>227</v>
      </c>
      <c r="AZ164" s="20">
        <v>221</v>
      </c>
      <c r="BA164" s="20">
        <v>225</v>
      </c>
      <c r="BB164" s="20">
        <v>227</v>
      </c>
      <c r="BC164" s="20">
        <v>225</v>
      </c>
      <c r="BD164" s="20">
        <v>226</v>
      </c>
      <c r="BE164" s="20">
        <v>227</v>
      </c>
      <c r="BF164" s="20">
        <v>226</v>
      </c>
      <c r="BG164" s="20">
        <v>227</v>
      </c>
      <c r="BH164" s="20">
        <v>224</v>
      </c>
      <c r="BI164" s="20">
        <v>226</v>
      </c>
      <c r="BJ164" s="20">
        <v>221</v>
      </c>
      <c r="BK164" s="20">
        <v>227</v>
      </c>
      <c r="BL164" s="20">
        <v>229</v>
      </c>
      <c r="BM164" s="20">
        <v>226</v>
      </c>
      <c r="BN164" s="20">
        <v>227</v>
      </c>
      <c r="BO164" s="20">
        <v>225</v>
      </c>
      <c r="BP164" s="20">
        <v>226</v>
      </c>
      <c r="BQ164" s="20">
        <v>225</v>
      </c>
      <c r="BR164" s="20">
        <v>230</v>
      </c>
      <c r="BS164" s="20">
        <v>224</v>
      </c>
      <c r="BT164" s="20">
        <v>221</v>
      </c>
      <c r="BU164" s="20">
        <v>224</v>
      </c>
      <c r="BV164" s="20">
        <v>225</v>
      </c>
      <c r="BW164" s="20">
        <v>226</v>
      </c>
      <c r="BX164" s="20">
        <v>225</v>
      </c>
      <c r="BY164" s="20">
        <v>223</v>
      </c>
      <c r="BZ164" s="20">
        <v>226</v>
      </c>
      <c r="CA164" s="20">
        <v>225</v>
      </c>
      <c r="CB164" s="20">
        <v>226</v>
      </c>
      <c r="CC164" s="20">
        <v>225</v>
      </c>
    </row>
    <row r="165" spans="1:81" x14ac:dyDescent="0.25">
      <c r="A165" s="13" t="s">
        <v>315</v>
      </c>
      <c r="B165" s="14">
        <v>4</v>
      </c>
      <c r="C165" s="13" t="s">
        <v>316</v>
      </c>
      <c r="D165" s="15">
        <v>13434</v>
      </c>
      <c r="E165" s="16">
        <v>59.987735000000001</v>
      </c>
      <c r="F165" s="17">
        <v>0</v>
      </c>
      <c r="G165" s="13" t="s">
        <v>252</v>
      </c>
      <c r="H165" s="18">
        <v>223.9457782495038</v>
      </c>
      <c r="I165" s="16">
        <v>225.83049163298031</v>
      </c>
      <c r="J165" s="16">
        <v>173.985633310315</v>
      </c>
      <c r="K165" s="16">
        <v>153.44158739618501</v>
      </c>
      <c r="L165" s="16">
        <v>154.45410769869031</v>
      </c>
      <c r="M165" s="16">
        <v>91.256418368091914</v>
      </c>
      <c r="N165" s="16">
        <v>36.783909246739107</v>
      </c>
      <c r="O165" s="16">
        <v>386.51824366110083</v>
      </c>
      <c r="P165" s="19">
        <v>4.4653666071162723</v>
      </c>
      <c r="Q165" s="19">
        <v>0.50515563656930762</v>
      </c>
      <c r="R165" s="16">
        <v>11.312747216863711</v>
      </c>
      <c r="S165" s="16">
        <v>2.9777413831608729E-2</v>
      </c>
      <c r="T165" s="16">
        <v>1.4887598630340931E-2</v>
      </c>
      <c r="U165" s="14"/>
      <c r="V165" s="20">
        <v>223</v>
      </c>
      <c r="W165" s="20">
        <v>224</v>
      </c>
      <c r="X165" s="20">
        <v>226</v>
      </c>
      <c r="Y165" s="20">
        <v>224</v>
      </c>
      <c r="Z165" s="20">
        <v>225</v>
      </c>
      <c r="AA165" s="20">
        <v>222</v>
      </c>
      <c r="AB165" s="20">
        <v>222</v>
      </c>
      <c r="AC165" s="20">
        <v>223</v>
      </c>
      <c r="AD165" s="20">
        <v>225</v>
      </c>
      <c r="AE165" s="20">
        <v>227</v>
      </c>
      <c r="AF165" s="20">
        <v>223</v>
      </c>
      <c r="AG165" s="20">
        <v>224</v>
      </c>
      <c r="AH165" s="20">
        <v>225</v>
      </c>
      <c r="AI165" s="20">
        <v>226</v>
      </c>
      <c r="AJ165" s="20">
        <v>226</v>
      </c>
      <c r="AK165" s="20">
        <v>227</v>
      </c>
      <c r="AL165" s="20">
        <v>223</v>
      </c>
      <c r="AM165" s="20">
        <v>226</v>
      </c>
      <c r="AN165" s="20">
        <v>222</v>
      </c>
      <c r="AO165" s="20">
        <v>223</v>
      </c>
      <c r="AP165" s="20">
        <v>224</v>
      </c>
      <c r="AQ165" s="20">
        <v>224</v>
      </c>
      <c r="AR165" s="20">
        <v>224</v>
      </c>
      <c r="AS165" s="20">
        <v>223</v>
      </c>
      <c r="AT165" s="20">
        <v>224</v>
      </c>
      <c r="AU165" s="20">
        <v>224</v>
      </c>
      <c r="AV165" s="20">
        <v>221</v>
      </c>
      <c r="AW165" s="20">
        <v>224</v>
      </c>
      <c r="AX165" s="20">
        <v>225</v>
      </c>
      <c r="AY165" s="20">
        <v>224</v>
      </c>
      <c r="AZ165" s="20">
        <v>224</v>
      </c>
      <c r="BA165" s="20">
        <v>226</v>
      </c>
      <c r="BB165" s="20">
        <v>227</v>
      </c>
      <c r="BC165" s="20">
        <v>223</v>
      </c>
      <c r="BD165" s="20">
        <v>222</v>
      </c>
      <c r="BE165" s="20">
        <v>224</v>
      </c>
      <c r="BF165" s="20">
        <v>221</v>
      </c>
      <c r="BG165" s="20">
        <v>223</v>
      </c>
      <c r="BH165" s="20">
        <v>223</v>
      </c>
      <c r="BI165" s="20">
        <v>226</v>
      </c>
      <c r="BJ165" s="20">
        <v>228</v>
      </c>
      <c r="BK165" s="20">
        <v>224</v>
      </c>
      <c r="BL165" s="20">
        <v>224</v>
      </c>
      <c r="BM165" s="20">
        <v>225</v>
      </c>
      <c r="BN165" s="20">
        <v>224</v>
      </c>
      <c r="BO165" s="20">
        <v>225</v>
      </c>
      <c r="BP165" s="20">
        <v>222</v>
      </c>
      <c r="BQ165" s="20">
        <v>224</v>
      </c>
      <c r="BR165" s="20">
        <v>224</v>
      </c>
      <c r="BS165" s="20">
        <v>225</v>
      </c>
      <c r="BT165" s="20">
        <v>222</v>
      </c>
      <c r="BU165" s="20">
        <v>221</v>
      </c>
      <c r="BV165" s="20">
        <v>225</v>
      </c>
      <c r="BW165" s="20">
        <v>223</v>
      </c>
      <c r="BX165" s="20">
        <v>224</v>
      </c>
      <c r="BY165" s="20">
        <v>219</v>
      </c>
      <c r="BZ165" s="20">
        <v>223</v>
      </c>
      <c r="CA165" s="20">
        <v>225</v>
      </c>
      <c r="CB165" s="20">
        <v>225</v>
      </c>
      <c r="CC165" s="20">
        <v>220</v>
      </c>
    </row>
    <row r="166" spans="1:81" x14ac:dyDescent="0.25">
      <c r="A166" s="13" t="s">
        <v>315</v>
      </c>
      <c r="B166" s="14">
        <v>5</v>
      </c>
      <c r="C166" s="13" t="s">
        <v>316</v>
      </c>
      <c r="D166" s="15">
        <v>13371</v>
      </c>
      <c r="E166" s="16">
        <v>59.987095900000007</v>
      </c>
      <c r="F166" s="17">
        <v>0</v>
      </c>
      <c r="G166" s="13" t="s">
        <v>252</v>
      </c>
      <c r="H166" s="18">
        <v>222.89793828809101</v>
      </c>
      <c r="I166" s="16">
        <v>225.13395470304829</v>
      </c>
      <c r="J166" s="16">
        <v>172.572678983754</v>
      </c>
      <c r="K166" s="16">
        <v>146.61572063605809</v>
      </c>
      <c r="L166" s="16">
        <v>146.97455358543601</v>
      </c>
      <c r="M166" s="16">
        <v>63.380895413599951</v>
      </c>
      <c r="N166" s="16">
        <v>38.396559668253722</v>
      </c>
      <c r="O166" s="16">
        <v>367.79579977196659</v>
      </c>
      <c r="P166" s="19">
        <v>4.4863582304988414</v>
      </c>
      <c r="Q166" s="19">
        <v>0.52724757228630748</v>
      </c>
      <c r="R166" s="16">
        <v>11.752239683001919</v>
      </c>
      <c r="S166" s="16">
        <v>5.2356020942408377E-2</v>
      </c>
      <c r="T166" s="16">
        <v>4.4873233116446039E-2</v>
      </c>
      <c r="U166" s="14"/>
      <c r="V166" s="20">
        <v>227</v>
      </c>
      <c r="W166" s="20">
        <v>216</v>
      </c>
      <c r="X166" s="20">
        <v>219</v>
      </c>
      <c r="Y166" s="20">
        <v>224</v>
      </c>
      <c r="Z166" s="20">
        <v>224</v>
      </c>
      <c r="AA166" s="20">
        <v>224</v>
      </c>
      <c r="AB166" s="20">
        <v>226</v>
      </c>
      <c r="AC166" s="20">
        <v>223</v>
      </c>
      <c r="AD166" s="20">
        <v>226</v>
      </c>
      <c r="AE166" s="20">
        <v>223</v>
      </c>
      <c r="AF166" s="20">
        <v>227</v>
      </c>
      <c r="AG166" s="20">
        <v>221</v>
      </c>
      <c r="AH166" s="20">
        <v>225</v>
      </c>
      <c r="AI166" s="20">
        <v>226</v>
      </c>
      <c r="AJ166" s="20">
        <v>225</v>
      </c>
      <c r="AK166" s="20">
        <v>223</v>
      </c>
      <c r="AL166" s="20">
        <v>226</v>
      </c>
      <c r="AM166" s="20">
        <v>223</v>
      </c>
      <c r="AN166" s="20">
        <v>224</v>
      </c>
      <c r="AO166" s="20">
        <v>224</v>
      </c>
      <c r="AP166" s="20">
        <v>223</v>
      </c>
      <c r="AQ166" s="20">
        <v>220</v>
      </c>
      <c r="AR166" s="20">
        <v>222</v>
      </c>
      <c r="AS166" s="20">
        <v>222</v>
      </c>
      <c r="AT166" s="20">
        <v>225</v>
      </c>
      <c r="AU166" s="20">
        <v>225</v>
      </c>
      <c r="AV166" s="20">
        <v>224</v>
      </c>
      <c r="AW166" s="20">
        <v>227</v>
      </c>
      <c r="AX166" s="20">
        <v>225</v>
      </c>
      <c r="AY166" s="20">
        <v>226</v>
      </c>
      <c r="AZ166" s="20">
        <v>227</v>
      </c>
      <c r="BA166" s="20">
        <v>224</v>
      </c>
      <c r="BB166" s="20">
        <v>224</v>
      </c>
      <c r="BC166" s="20">
        <v>224</v>
      </c>
      <c r="BD166" s="20">
        <v>222</v>
      </c>
      <c r="BE166" s="20">
        <v>223</v>
      </c>
      <c r="BF166" s="20">
        <v>220</v>
      </c>
      <c r="BG166" s="20">
        <v>218</v>
      </c>
      <c r="BH166" s="20">
        <v>224</v>
      </c>
      <c r="BI166" s="20">
        <v>225</v>
      </c>
      <c r="BJ166" s="20">
        <v>224</v>
      </c>
      <c r="BK166" s="20">
        <v>220</v>
      </c>
      <c r="BL166" s="20">
        <v>216</v>
      </c>
      <c r="BM166" s="20">
        <v>224</v>
      </c>
      <c r="BN166" s="20">
        <v>221</v>
      </c>
      <c r="BO166" s="20">
        <v>211</v>
      </c>
      <c r="BP166" s="20">
        <v>225</v>
      </c>
      <c r="BQ166" s="20">
        <v>224</v>
      </c>
      <c r="BR166" s="20">
        <v>214</v>
      </c>
      <c r="BS166" s="20">
        <v>220</v>
      </c>
      <c r="BT166" s="20">
        <v>224</v>
      </c>
      <c r="BU166" s="20">
        <v>219</v>
      </c>
      <c r="BV166" s="20">
        <v>222</v>
      </c>
      <c r="BW166" s="20">
        <v>225</v>
      </c>
      <c r="BX166" s="20">
        <v>224</v>
      </c>
      <c r="BY166" s="20">
        <v>221</v>
      </c>
      <c r="BZ166" s="20">
        <v>223</v>
      </c>
      <c r="CA166" s="20">
        <v>224</v>
      </c>
      <c r="CB166" s="20">
        <v>223</v>
      </c>
      <c r="CC166" s="20">
        <v>221</v>
      </c>
    </row>
    <row r="167" spans="1:81" x14ac:dyDescent="0.25">
      <c r="A167" s="21" t="s">
        <v>317</v>
      </c>
      <c r="B167" s="22">
        <v>1</v>
      </c>
      <c r="C167" s="21" t="s">
        <v>318</v>
      </c>
      <c r="D167" s="23">
        <v>13370</v>
      </c>
      <c r="E167" s="24">
        <v>59.9911089</v>
      </c>
      <c r="F167" s="25">
        <v>0</v>
      </c>
      <c r="G167" s="21" t="s">
        <v>252</v>
      </c>
      <c r="H167" s="26">
        <v>222.86635878470989</v>
      </c>
      <c r="I167" s="24">
        <v>226.0883327115904</v>
      </c>
      <c r="J167" s="24">
        <v>173.38694226405551</v>
      </c>
      <c r="K167" s="24">
        <v>153.78331325256451</v>
      </c>
      <c r="L167" s="24">
        <v>153.6995481233285</v>
      </c>
      <c r="M167" s="24">
        <v>81.681328465126157</v>
      </c>
      <c r="N167" s="24">
        <v>35.315597840098043</v>
      </c>
      <c r="O167" s="24">
        <v>435.59698566885908</v>
      </c>
      <c r="P167" s="27">
        <v>4.4869939341810019</v>
      </c>
      <c r="Q167" s="27">
        <v>0.50114984921323624</v>
      </c>
      <c r="R167" s="24">
        <v>11.168944209966041</v>
      </c>
      <c r="S167" s="24">
        <v>1.495998204802154E-2</v>
      </c>
      <c r="T167" s="24">
        <v>1.495886312640239E-2</v>
      </c>
      <c r="U167" s="22"/>
      <c r="V167" s="28">
        <v>221</v>
      </c>
      <c r="W167" s="28">
        <v>223</v>
      </c>
      <c r="X167" s="28">
        <v>223</v>
      </c>
      <c r="Y167" s="28">
        <v>225</v>
      </c>
      <c r="Z167" s="28">
        <v>224</v>
      </c>
      <c r="AA167" s="28">
        <v>222</v>
      </c>
      <c r="AB167" s="28">
        <v>224</v>
      </c>
      <c r="AC167" s="28">
        <v>225</v>
      </c>
      <c r="AD167" s="28">
        <v>223</v>
      </c>
      <c r="AE167" s="28">
        <v>224</v>
      </c>
      <c r="AF167" s="28">
        <v>218</v>
      </c>
      <c r="AG167" s="28">
        <v>224</v>
      </c>
      <c r="AH167" s="28">
        <v>220</v>
      </c>
      <c r="AI167" s="28">
        <v>223</v>
      </c>
      <c r="AJ167" s="28">
        <v>224</v>
      </c>
      <c r="AK167" s="28">
        <v>224</v>
      </c>
      <c r="AL167" s="28">
        <v>226</v>
      </c>
      <c r="AM167" s="28">
        <v>225</v>
      </c>
      <c r="AN167" s="28">
        <v>225</v>
      </c>
      <c r="AO167" s="28">
        <v>222</v>
      </c>
      <c r="AP167" s="28">
        <v>220</v>
      </c>
      <c r="AQ167" s="28">
        <v>224</v>
      </c>
      <c r="AR167" s="28">
        <v>222</v>
      </c>
      <c r="AS167" s="28">
        <v>222</v>
      </c>
      <c r="AT167" s="28">
        <v>224</v>
      </c>
      <c r="AU167" s="28">
        <v>224</v>
      </c>
      <c r="AV167" s="28">
        <v>223</v>
      </c>
      <c r="AW167" s="28">
        <v>224</v>
      </c>
      <c r="AX167" s="28">
        <v>223</v>
      </c>
      <c r="AY167" s="28">
        <v>224</v>
      </c>
      <c r="AZ167" s="28">
        <v>221</v>
      </c>
      <c r="BA167" s="28">
        <v>224</v>
      </c>
      <c r="BB167" s="28">
        <v>225</v>
      </c>
      <c r="BC167" s="28">
        <v>218</v>
      </c>
      <c r="BD167" s="28">
        <v>223</v>
      </c>
      <c r="BE167" s="28">
        <v>225</v>
      </c>
      <c r="BF167" s="28">
        <v>223</v>
      </c>
      <c r="BG167" s="28">
        <v>223</v>
      </c>
      <c r="BH167" s="28">
        <v>225</v>
      </c>
      <c r="BI167" s="28">
        <v>225</v>
      </c>
      <c r="BJ167" s="28">
        <v>221</v>
      </c>
      <c r="BK167" s="28">
        <v>223</v>
      </c>
      <c r="BL167" s="28">
        <v>222</v>
      </c>
      <c r="BM167" s="28">
        <v>222</v>
      </c>
      <c r="BN167" s="28">
        <v>223</v>
      </c>
      <c r="BO167" s="28">
        <v>223</v>
      </c>
      <c r="BP167" s="28">
        <v>226</v>
      </c>
      <c r="BQ167" s="28">
        <v>220</v>
      </c>
      <c r="BR167" s="28">
        <v>217</v>
      </c>
      <c r="BS167" s="28">
        <v>223</v>
      </c>
      <c r="BT167" s="28">
        <v>219</v>
      </c>
      <c r="BU167" s="28">
        <v>223</v>
      </c>
      <c r="BV167" s="28">
        <v>220</v>
      </c>
      <c r="BW167" s="28">
        <v>223</v>
      </c>
      <c r="BX167" s="28">
        <v>223</v>
      </c>
      <c r="BY167" s="28">
        <v>226</v>
      </c>
      <c r="BZ167" s="28">
        <v>223</v>
      </c>
      <c r="CA167" s="28">
        <v>222</v>
      </c>
      <c r="CB167" s="28">
        <v>223</v>
      </c>
      <c r="CC167" s="28">
        <v>221</v>
      </c>
    </row>
    <row r="168" spans="1:81" x14ac:dyDescent="0.25">
      <c r="A168" s="21" t="s">
        <v>317</v>
      </c>
      <c r="B168" s="22">
        <v>2</v>
      </c>
      <c r="C168" s="21" t="s">
        <v>318</v>
      </c>
      <c r="D168" s="23">
        <v>13366</v>
      </c>
      <c r="E168" s="24">
        <v>59.992766600000003</v>
      </c>
      <c r="F168" s="25">
        <v>0</v>
      </c>
      <c r="G168" s="21" t="s">
        <v>252</v>
      </c>
      <c r="H168" s="26">
        <v>222.7935259115055</v>
      </c>
      <c r="I168" s="24">
        <v>226.15224569179969</v>
      </c>
      <c r="J168" s="24">
        <v>173.63070485384631</v>
      </c>
      <c r="K168" s="24">
        <v>155.8301473210407</v>
      </c>
      <c r="L168" s="24">
        <v>155.6114653203295</v>
      </c>
      <c r="M168" s="24">
        <v>93.756152747524069</v>
      </c>
      <c r="N168" s="24">
        <v>41.866754865963593</v>
      </c>
      <c r="O168" s="24">
        <v>514.11238496735382</v>
      </c>
      <c r="P168" s="27">
        <v>4.4884607661229987</v>
      </c>
      <c r="Q168" s="27">
        <v>0.48798789184700281</v>
      </c>
      <c r="R168" s="24">
        <v>10.872054302671611</v>
      </c>
      <c r="S168" s="24">
        <v>1.4964459408903849E-2</v>
      </c>
      <c r="T168" s="24">
        <v>1.496333981744725E-2</v>
      </c>
      <c r="U168" s="22"/>
      <c r="V168" s="28">
        <v>223</v>
      </c>
      <c r="W168" s="28">
        <v>221</v>
      </c>
      <c r="X168" s="28">
        <v>224</v>
      </c>
      <c r="Y168" s="28">
        <v>224</v>
      </c>
      <c r="Z168" s="28">
        <v>223</v>
      </c>
      <c r="AA168" s="28">
        <v>221</v>
      </c>
      <c r="AB168" s="28">
        <v>224</v>
      </c>
      <c r="AC168" s="28">
        <v>222</v>
      </c>
      <c r="AD168" s="28">
        <v>223</v>
      </c>
      <c r="AE168" s="28">
        <v>222</v>
      </c>
      <c r="AF168" s="28">
        <v>222</v>
      </c>
      <c r="AG168" s="28">
        <v>221</v>
      </c>
      <c r="AH168" s="28">
        <v>224</v>
      </c>
      <c r="AI168" s="28">
        <v>224</v>
      </c>
      <c r="AJ168" s="28">
        <v>224</v>
      </c>
      <c r="AK168" s="28">
        <v>220</v>
      </c>
      <c r="AL168" s="28">
        <v>224</v>
      </c>
      <c r="AM168" s="28">
        <v>225</v>
      </c>
      <c r="AN168" s="28">
        <v>223</v>
      </c>
      <c r="AO168" s="28">
        <v>217</v>
      </c>
      <c r="AP168" s="28">
        <v>221</v>
      </c>
      <c r="AQ168" s="28">
        <v>223</v>
      </c>
      <c r="AR168" s="28">
        <v>224</v>
      </c>
      <c r="AS168" s="28">
        <v>223</v>
      </c>
      <c r="AT168" s="28">
        <v>224</v>
      </c>
      <c r="AU168" s="28">
        <v>221</v>
      </c>
      <c r="AV168" s="28">
        <v>221</v>
      </c>
      <c r="AW168" s="28">
        <v>223</v>
      </c>
      <c r="AX168" s="28">
        <v>221</v>
      </c>
      <c r="AY168" s="28">
        <v>224</v>
      </c>
      <c r="AZ168" s="28">
        <v>225</v>
      </c>
      <c r="BA168" s="28">
        <v>224</v>
      </c>
      <c r="BB168" s="28">
        <v>223</v>
      </c>
      <c r="BC168" s="28">
        <v>224</v>
      </c>
      <c r="BD168" s="28">
        <v>224</v>
      </c>
      <c r="BE168" s="28">
        <v>222</v>
      </c>
      <c r="BF168" s="28">
        <v>223</v>
      </c>
      <c r="BG168" s="28">
        <v>222</v>
      </c>
      <c r="BH168" s="28">
        <v>221</v>
      </c>
      <c r="BI168" s="28">
        <v>221</v>
      </c>
      <c r="BJ168" s="28">
        <v>225</v>
      </c>
      <c r="BK168" s="28">
        <v>224</v>
      </c>
      <c r="BL168" s="28">
        <v>223</v>
      </c>
      <c r="BM168" s="28">
        <v>225</v>
      </c>
      <c r="BN168" s="28">
        <v>224</v>
      </c>
      <c r="BO168" s="28">
        <v>221</v>
      </c>
      <c r="BP168" s="28">
        <v>224</v>
      </c>
      <c r="BQ168" s="28">
        <v>226</v>
      </c>
      <c r="BR168" s="28">
        <v>223</v>
      </c>
      <c r="BS168" s="28">
        <v>223</v>
      </c>
      <c r="BT168" s="28">
        <v>222</v>
      </c>
      <c r="BU168" s="28">
        <v>222</v>
      </c>
      <c r="BV168" s="28">
        <v>222</v>
      </c>
      <c r="BW168" s="28">
        <v>224</v>
      </c>
      <c r="BX168" s="28">
        <v>224</v>
      </c>
      <c r="BY168" s="28">
        <v>219</v>
      </c>
      <c r="BZ168" s="28">
        <v>222</v>
      </c>
      <c r="CA168" s="28">
        <v>224</v>
      </c>
      <c r="CB168" s="28">
        <v>222</v>
      </c>
      <c r="CC168" s="28">
        <v>222</v>
      </c>
    </row>
    <row r="169" spans="1:81" x14ac:dyDescent="0.25">
      <c r="A169" s="21" t="s">
        <v>317</v>
      </c>
      <c r="B169" s="22">
        <v>3</v>
      </c>
      <c r="C169" s="21" t="s">
        <v>318</v>
      </c>
      <c r="D169" s="23">
        <v>13264</v>
      </c>
      <c r="E169" s="24">
        <v>59.995178299999999</v>
      </c>
      <c r="F169" s="25">
        <v>0</v>
      </c>
      <c r="G169" s="21" t="s">
        <v>252</v>
      </c>
      <c r="H169" s="26">
        <v>221.08443338020709</v>
      </c>
      <c r="I169" s="24">
        <v>224.22278776192019</v>
      </c>
      <c r="J169" s="24">
        <v>170.817445175714</v>
      </c>
      <c r="K169" s="24">
        <v>150.16825151235909</v>
      </c>
      <c r="L169" s="24">
        <v>152.38380445050149</v>
      </c>
      <c r="M169" s="24">
        <v>82.610901004052891</v>
      </c>
      <c r="N169" s="24">
        <v>39.145378105207122</v>
      </c>
      <c r="O169" s="24">
        <v>500.97690496468113</v>
      </c>
      <c r="P169" s="27">
        <v>4.5231587982509049</v>
      </c>
      <c r="Q169" s="27">
        <v>0.50402019538959975</v>
      </c>
      <c r="R169" s="24">
        <v>11.143101930989101</v>
      </c>
      <c r="S169" s="24">
        <v>3.0159089195506299E-2</v>
      </c>
      <c r="T169" s="24">
        <v>2.2617611580217131E-2</v>
      </c>
      <c r="U169" s="22"/>
      <c r="V169" s="28">
        <v>224</v>
      </c>
      <c r="W169" s="28">
        <v>219</v>
      </c>
      <c r="X169" s="28">
        <v>221</v>
      </c>
      <c r="Y169" s="28">
        <v>221</v>
      </c>
      <c r="Z169" s="28">
        <v>224</v>
      </c>
      <c r="AA169" s="28">
        <v>223</v>
      </c>
      <c r="AB169" s="28">
        <v>220</v>
      </c>
      <c r="AC169" s="28">
        <v>221</v>
      </c>
      <c r="AD169" s="28">
        <v>224</v>
      </c>
      <c r="AE169" s="28">
        <v>223</v>
      </c>
      <c r="AF169" s="28">
        <v>222</v>
      </c>
      <c r="AG169" s="28">
        <v>217</v>
      </c>
      <c r="AH169" s="28">
        <v>222</v>
      </c>
      <c r="AI169" s="28">
        <v>224</v>
      </c>
      <c r="AJ169" s="28">
        <v>224</v>
      </c>
      <c r="AK169" s="28">
        <v>222</v>
      </c>
      <c r="AL169" s="28">
        <v>222</v>
      </c>
      <c r="AM169" s="28">
        <v>221</v>
      </c>
      <c r="AN169" s="28">
        <v>220</v>
      </c>
      <c r="AO169" s="28">
        <v>219</v>
      </c>
      <c r="AP169" s="28">
        <v>223</v>
      </c>
      <c r="AQ169" s="28">
        <v>217</v>
      </c>
      <c r="AR169" s="28">
        <v>224</v>
      </c>
      <c r="AS169" s="28">
        <v>222</v>
      </c>
      <c r="AT169" s="28">
        <v>220</v>
      </c>
      <c r="AU169" s="28">
        <v>219</v>
      </c>
      <c r="AV169" s="28">
        <v>221</v>
      </c>
      <c r="AW169" s="28">
        <v>223</v>
      </c>
      <c r="AX169" s="28">
        <v>223</v>
      </c>
      <c r="AY169" s="28">
        <v>224</v>
      </c>
      <c r="AZ169" s="28">
        <v>223</v>
      </c>
      <c r="BA169" s="28">
        <v>220</v>
      </c>
      <c r="BB169" s="28">
        <v>215</v>
      </c>
      <c r="BC169" s="28">
        <v>215</v>
      </c>
      <c r="BD169" s="28">
        <v>214</v>
      </c>
      <c r="BE169" s="28">
        <v>215</v>
      </c>
      <c r="BF169" s="28">
        <v>215</v>
      </c>
      <c r="BG169" s="28">
        <v>214</v>
      </c>
      <c r="BH169" s="28">
        <v>216</v>
      </c>
      <c r="BI169" s="28">
        <v>223</v>
      </c>
      <c r="BJ169" s="28">
        <v>224</v>
      </c>
      <c r="BK169" s="28">
        <v>219</v>
      </c>
      <c r="BL169" s="28">
        <v>222</v>
      </c>
      <c r="BM169" s="28">
        <v>221</v>
      </c>
      <c r="BN169" s="28">
        <v>220</v>
      </c>
      <c r="BO169" s="28">
        <v>223</v>
      </c>
      <c r="BP169" s="28">
        <v>222</v>
      </c>
      <c r="BQ169" s="28">
        <v>225</v>
      </c>
      <c r="BR169" s="28">
        <v>225</v>
      </c>
      <c r="BS169" s="28">
        <v>222</v>
      </c>
      <c r="BT169" s="28">
        <v>223</v>
      </c>
      <c r="BU169" s="28">
        <v>222</v>
      </c>
      <c r="BV169" s="28">
        <v>223</v>
      </c>
      <c r="BW169" s="28">
        <v>224</v>
      </c>
      <c r="BX169" s="28">
        <v>223</v>
      </c>
      <c r="BY169" s="28">
        <v>221</v>
      </c>
      <c r="BZ169" s="28">
        <v>221</v>
      </c>
      <c r="CA169" s="28">
        <v>221</v>
      </c>
      <c r="CB169" s="28">
        <v>223</v>
      </c>
      <c r="CC169" s="28">
        <v>221</v>
      </c>
    </row>
    <row r="170" spans="1:81" x14ac:dyDescent="0.25">
      <c r="A170" s="21" t="s">
        <v>317</v>
      </c>
      <c r="B170" s="22">
        <v>4</v>
      </c>
      <c r="C170" s="21" t="s">
        <v>318</v>
      </c>
      <c r="D170" s="23">
        <v>13393</v>
      </c>
      <c r="E170" s="24">
        <v>60.013612199999997</v>
      </c>
      <c r="F170" s="25">
        <v>0</v>
      </c>
      <c r="G170" s="21" t="s">
        <v>252</v>
      </c>
      <c r="H170" s="26">
        <v>223.16603698785531</v>
      </c>
      <c r="I170" s="24">
        <v>226.32627195364839</v>
      </c>
      <c r="J170" s="24">
        <v>173.70254620140321</v>
      </c>
      <c r="K170" s="24">
        <v>155.94308451678361</v>
      </c>
      <c r="L170" s="24">
        <v>155.26796111693821</v>
      </c>
      <c r="M170" s="24">
        <v>89.233130476683385</v>
      </c>
      <c r="N170" s="24">
        <v>36.347907632697122</v>
      </c>
      <c r="O170" s="24">
        <v>439.63773850347309</v>
      </c>
      <c r="P170" s="27">
        <v>4.4809685806018056</v>
      </c>
      <c r="Q170" s="27">
        <v>0.49313602320144528</v>
      </c>
      <c r="R170" s="24">
        <v>11.00512119938176</v>
      </c>
      <c r="S170" s="24">
        <v>1.493428912783751E-2</v>
      </c>
      <c r="T170" s="24">
        <v>1.493317404614351E-2</v>
      </c>
      <c r="U170" s="22"/>
      <c r="V170" s="28">
        <v>223</v>
      </c>
      <c r="W170" s="28">
        <v>222</v>
      </c>
      <c r="X170" s="28">
        <v>219</v>
      </c>
      <c r="Y170" s="28">
        <v>220</v>
      </c>
      <c r="Z170" s="28">
        <v>226</v>
      </c>
      <c r="AA170" s="28">
        <v>227</v>
      </c>
      <c r="AB170" s="28">
        <v>222</v>
      </c>
      <c r="AC170" s="28">
        <v>221</v>
      </c>
      <c r="AD170" s="28">
        <v>220</v>
      </c>
      <c r="AE170" s="28">
        <v>224</v>
      </c>
      <c r="AF170" s="28">
        <v>222</v>
      </c>
      <c r="AG170" s="28">
        <v>223</v>
      </c>
      <c r="AH170" s="28">
        <v>221</v>
      </c>
      <c r="AI170" s="28">
        <v>224</v>
      </c>
      <c r="AJ170" s="28">
        <v>223</v>
      </c>
      <c r="AK170" s="28">
        <v>225</v>
      </c>
      <c r="AL170" s="28">
        <v>222</v>
      </c>
      <c r="AM170" s="28">
        <v>224</v>
      </c>
      <c r="AN170" s="28">
        <v>223</v>
      </c>
      <c r="AO170" s="28">
        <v>225</v>
      </c>
      <c r="AP170" s="28">
        <v>225</v>
      </c>
      <c r="AQ170" s="28">
        <v>224</v>
      </c>
      <c r="AR170" s="28">
        <v>224</v>
      </c>
      <c r="AS170" s="28">
        <v>225</v>
      </c>
      <c r="AT170" s="28">
        <v>224</v>
      </c>
      <c r="AU170" s="28">
        <v>225</v>
      </c>
      <c r="AV170" s="28">
        <v>224</v>
      </c>
      <c r="AW170" s="28">
        <v>222</v>
      </c>
      <c r="AX170" s="28">
        <v>225</v>
      </c>
      <c r="AY170" s="28">
        <v>223</v>
      </c>
      <c r="AZ170" s="28">
        <v>223</v>
      </c>
      <c r="BA170" s="28">
        <v>221</v>
      </c>
      <c r="BB170" s="28">
        <v>224</v>
      </c>
      <c r="BC170" s="28">
        <v>221</v>
      </c>
      <c r="BD170" s="28">
        <v>223</v>
      </c>
      <c r="BE170" s="28">
        <v>223</v>
      </c>
      <c r="BF170" s="28">
        <v>226</v>
      </c>
      <c r="BG170" s="28">
        <v>223</v>
      </c>
      <c r="BH170" s="28">
        <v>220</v>
      </c>
      <c r="BI170" s="28">
        <v>224</v>
      </c>
      <c r="BJ170" s="28">
        <v>224</v>
      </c>
      <c r="BK170" s="28">
        <v>221</v>
      </c>
      <c r="BL170" s="28">
        <v>222</v>
      </c>
      <c r="BM170" s="28">
        <v>220</v>
      </c>
      <c r="BN170" s="28">
        <v>223</v>
      </c>
      <c r="BO170" s="28">
        <v>224</v>
      </c>
      <c r="BP170" s="28">
        <v>223</v>
      </c>
      <c r="BQ170" s="28">
        <v>223</v>
      </c>
      <c r="BR170" s="28">
        <v>227</v>
      </c>
      <c r="BS170" s="28">
        <v>225</v>
      </c>
      <c r="BT170" s="28">
        <v>224</v>
      </c>
      <c r="BU170" s="28">
        <v>224</v>
      </c>
      <c r="BV170" s="28">
        <v>226</v>
      </c>
      <c r="BW170" s="28">
        <v>225</v>
      </c>
      <c r="BX170" s="28">
        <v>217</v>
      </c>
      <c r="BY170" s="28">
        <v>222</v>
      </c>
      <c r="BZ170" s="28">
        <v>223</v>
      </c>
      <c r="CA170" s="28">
        <v>223</v>
      </c>
      <c r="CB170" s="28">
        <v>223</v>
      </c>
      <c r="CC170" s="28">
        <v>226</v>
      </c>
    </row>
    <row r="171" spans="1:81" x14ac:dyDescent="0.25">
      <c r="A171" s="21" t="s">
        <v>317</v>
      </c>
      <c r="B171" s="22">
        <v>5</v>
      </c>
      <c r="C171" s="21" t="s">
        <v>318</v>
      </c>
      <c r="D171" s="23">
        <v>13393</v>
      </c>
      <c r="E171" s="24">
        <v>60.006338300000003</v>
      </c>
      <c r="F171" s="25">
        <v>0</v>
      </c>
      <c r="G171" s="21" t="s">
        <v>252</v>
      </c>
      <c r="H171" s="26">
        <v>223.19308892074159</v>
      </c>
      <c r="I171" s="24">
        <v>226.13178960698289</v>
      </c>
      <c r="J171" s="24">
        <v>173.6448753924374</v>
      </c>
      <c r="K171" s="24">
        <v>153.36659302616059</v>
      </c>
      <c r="L171" s="24">
        <v>152.55907062340771</v>
      </c>
      <c r="M171" s="24">
        <v>75.003900202810556</v>
      </c>
      <c r="N171" s="24">
        <v>36.13121411718798</v>
      </c>
      <c r="O171" s="24">
        <v>473.50726833656898</v>
      </c>
      <c r="P171" s="27">
        <v>4.4804254685283356</v>
      </c>
      <c r="Q171" s="27">
        <v>0.49402329016132968</v>
      </c>
      <c r="R171" s="24">
        <v>11.026258412989501</v>
      </c>
      <c r="S171" s="24">
        <v>2.2401433691756269E-2</v>
      </c>
      <c r="T171" s="24">
        <v>2.9866348092287019E-2</v>
      </c>
      <c r="U171" s="22"/>
      <c r="V171" s="28">
        <v>225</v>
      </c>
      <c r="W171" s="28">
        <v>220</v>
      </c>
      <c r="X171" s="28">
        <v>215</v>
      </c>
      <c r="Y171" s="28">
        <v>224</v>
      </c>
      <c r="Z171" s="28">
        <v>224</v>
      </c>
      <c r="AA171" s="28">
        <v>226</v>
      </c>
      <c r="AB171" s="28">
        <v>222</v>
      </c>
      <c r="AC171" s="28">
        <v>225</v>
      </c>
      <c r="AD171" s="28">
        <v>225</v>
      </c>
      <c r="AE171" s="28">
        <v>223</v>
      </c>
      <c r="AF171" s="28">
        <v>224</v>
      </c>
      <c r="AG171" s="28">
        <v>226</v>
      </c>
      <c r="AH171" s="28">
        <v>222</v>
      </c>
      <c r="AI171" s="28">
        <v>226</v>
      </c>
      <c r="AJ171" s="28">
        <v>222</v>
      </c>
      <c r="AK171" s="28">
        <v>223</v>
      </c>
      <c r="AL171" s="28">
        <v>225</v>
      </c>
      <c r="AM171" s="28">
        <v>224</v>
      </c>
      <c r="AN171" s="28">
        <v>222</v>
      </c>
      <c r="AO171" s="28">
        <v>225</v>
      </c>
      <c r="AP171" s="28">
        <v>221</v>
      </c>
      <c r="AQ171" s="28">
        <v>225</v>
      </c>
      <c r="AR171" s="28">
        <v>221</v>
      </c>
      <c r="AS171" s="28">
        <v>223</v>
      </c>
      <c r="AT171" s="28">
        <v>224</v>
      </c>
      <c r="AU171" s="28">
        <v>222</v>
      </c>
      <c r="AV171" s="28">
        <v>224</v>
      </c>
      <c r="AW171" s="28">
        <v>227</v>
      </c>
      <c r="AX171" s="28">
        <v>219</v>
      </c>
      <c r="AY171" s="28">
        <v>221</v>
      </c>
      <c r="AZ171" s="28">
        <v>220</v>
      </c>
      <c r="BA171" s="28">
        <v>223</v>
      </c>
      <c r="BB171" s="28">
        <v>223</v>
      </c>
      <c r="BC171" s="28">
        <v>223</v>
      </c>
      <c r="BD171" s="28">
        <v>227</v>
      </c>
      <c r="BE171" s="28">
        <v>224</v>
      </c>
      <c r="BF171" s="28">
        <v>223</v>
      </c>
      <c r="BG171" s="28">
        <v>224</v>
      </c>
      <c r="BH171" s="28">
        <v>225</v>
      </c>
      <c r="BI171" s="28">
        <v>222</v>
      </c>
      <c r="BJ171" s="28">
        <v>216</v>
      </c>
      <c r="BK171" s="28">
        <v>222</v>
      </c>
      <c r="BL171" s="28">
        <v>223</v>
      </c>
      <c r="BM171" s="28">
        <v>225</v>
      </c>
      <c r="BN171" s="28">
        <v>224</v>
      </c>
      <c r="BO171" s="28">
        <v>223</v>
      </c>
      <c r="BP171" s="28">
        <v>226</v>
      </c>
      <c r="BQ171" s="28">
        <v>224</v>
      </c>
      <c r="BR171" s="28">
        <v>225</v>
      </c>
      <c r="BS171" s="28">
        <v>224</v>
      </c>
      <c r="BT171" s="28">
        <v>226</v>
      </c>
      <c r="BU171" s="28">
        <v>224</v>
      </c>
      <c r="BV171" s="28">
        <v>219</v>
      </c>
      <c r="BW171" s="28">
        <v>222</v>
      </c>
      <c r="BX171" s="28">
        <v>222</v>
      </c>
      <c r="BY171" s="28">
        <v>223</v>
      </c>
      <c r="BZ171" s="28">
        <v>224</v>
      </c>
      <c r="CA171" s="28">
        <v>223</v>
      </c>
      <c r="CB171" s="28">
        <v>224</v>
      </c>
      <c r="CC171" s="28">
        <v>224</v>
      </c>
    </row>
    <row r="172" spans="1:81" x14ac:dyDescent="0.25">
      <c r="A172" s="29" t="s">
        <v>319</v>
      </c>
      <c r="B172" s="30">
        <v>1</v>
      </c>
      <c r="C172" s="29" t="s">
        <v>320</v>
      </c>
      <c r="D172" s="31">
        <v>13591</v>
      </c>
      <c r="E172" s="32">
        <v>59.987524700000009</v>
      </c>
      <c r="F172" s="33">
        <v>0</v>
      </c>
      <c r="G172" s="29" t="s">
        <v>252</v>
      </c>
      <c r="H172" s="34">
        <v>226.56377418420129</v>
      </c>
      <c r="I172" s="32">
        <v>230.61135069068101</v>
      </c>
      <c r="J172" s="32">
        <v>176.83591042200121</v>
      </c>
      <c r="K172" s="32">
        <v>154.35269188779361</v>
      </c>
      <c r="L172" s="32">
        <v>157.92906125802301</v>
      </c>
      <c r="M172" s="32">
        <v>96.262295502786003</v>
      </c>
      <c r="N172" s="32">
        <v>42.00480534973201</v>
      </c>
      <c r="O172" s="32">
        <v>392.8964325003929</v>
      </c>
      <c r="P172" s="35">
        <v>4.4137682804797302</v>
      </c>
      <c r="Q172" s="35">
        <v>0.46535146806757799</v>
      </c>
      <c r="R172" s="32">
        <v>10.543178492754929</v>
      </c>
      <c r="S172" s="32">
        <v>1.4716703458425309E-2</v>
      </c>
      <c r="T172" s="32">
        <v>1.4715620631300131E-2</v>
      </c>
      <c r="U172" s="30"/>
      <c r="V172" s="36">
        <v>229</v>
      </c>
      <c r="W172" s="36">
        <v>231</v>
      </c>
      <c r="X172" s="36">
        <v>232</v>
      </c>
      <c r="Y172" s="36">
        <v>231</v>
      </c>
      <c r="Z172" s="36">
        <v>227</v>
      </c>
      <c r="AA172" s="36">
        <v>230</v>
      </c>
      <c r="AB172" s="36">
        <v>232</v>
      </c>
      <c r="AC172" s="36">
        <v>230</v>
      </c>
      <c r="AD172" s="36">
        <v>231</v>
      </c>
      <c r="AE172" s="36">
        <v>232</v>
      </c>
      <c r="AF172" s="36">
        <v>233</v>
      </c>
      <c r="AG172" s="36">
        <v>230</v>
      </c>
      <c r="AH172" s="36">
        <v>231</v>
      </c>
      <c r="AI172" s="36">
        <v>233</v>
      </c>
      <c r="AJ172" s="36">
        <v>232</v>
      </c>
      <c r="AK172" s="36">
        <v>233</v>
      </c>
      <c r="AL172" s="36">
        <v>232</v>
      </c>
      <c r="AM172" s="36">
        <v>229</v>
      </c>
      <c r="AN172" s="36">
        <v>231</v>
      </c>
      <c r="AO172" s="36">
        <v>232</v>
      </c>
      <c r="AP172" s="36">
        <v>230</v>
      </c>
      <c r="AQ172" s="36">
        <v>233</v>
      </c>
      <c r="AR172" s="36">
        <v>232</v>
      </c>
      <c r="AS172" s="36">
        <v>233</v>
      </c>
      <c r="AT172" s="36">
        <v>233</v>
      </c>
      <c r="AU172" s="36">
        <v>230</v>
      </c>
      <c r="AV172" s="36">
        <v>230</v>
      </c>
      <c r="AW172" s="36">
        <v>228</v>
      </c>
      <c r="AX172" s="36">
        <v>229</v>
      </c>
      <c r="AY172" s="36">
        <v>231</v>
      </c>
      <c r="AZ172" s="36">
        <v>230</v>
      </c>
      <c r="BA172" s="36">
        <v>222</v>
      </c>
      <c r="BB172" s="36">
        <v>222</v>
      </c>
      <c r="BC172" s="36">
        <v>223</v>
      </c>
      <c r="BD172" s="36">
        <v>223</v>
      </c>
      <c r="BE172" s="36">
        <v>222</v>
      </c>
      <c r="BF172" s="36">
        <v>220</v>
      </c>
      <c r="BG172" s="36">
        <v>220</v>
      </c>
      <c r="BH172" s="36">
        <v>224</v>
      </c>
      <c r="BI172" s="36">
        <v>224</v>
      </c>
      <c r="BJ172" s="36">
        <v>223</v>
      </c>
      <c r="BK172" s="36">
        <v>225</v>
      </c>
      <c r="BL172" s="36">
        <v>223</v>
      </c>
      <c r="BM172" s="36">
        <v>222</v>
      </c>
      <c r="BN172" s="36">
        <v>224</v>
      </c>
      <c r="BO172" s="36">
        <v>223</v>
      </c>
      <c r="BP172" s="36">
        <v>222</v>
      </c>
      <c r="BQ172" s="36">
        <v>217</v>
      </c>
      <c r="BR172" s="36">
        <v>220</v>
      </c>
      <c r="BS172" s="36">
        <v>219</v>
      </c>
      <c r="BT172" s="36">
        <v>222</v>
      </c>
      <c r="BU172" s="36">
        <v>218</v>
      </c>
      <c r="BV172" s="36">
        <v>221</v>
      </c>
      <c r="BW172" s="36">
        <v>223</v>
      </c>
      <c r="BX172" s="36">
        <v>225</v>
      </c>
      <c r="BY172" s="36">
        <v>222</v>
      </c>
      <c r="BZ172" s="36">
        <v>220</v>
      </c>
      <c r="CA172" s="36">
        <v>218</v>
      </c>
      <c r="CB172" s="36">
        <v>224</v>
      </c>
      <c r="CC172" s="36">
        <v>220</v>
      </c>
    </row>
    <row r="173" spans="1:81" x14ac:dyDescent="0.25">
      <c r="A173" s="29" t="s">
        <v>319</v>
      </c>
      <c r="B173" s="30">
        <v>2</v>
      </c>
      <c r="C173" s="29" t="s">
        <v>320</v>
      </c>
      <c r="D173" s="31">
        <v>13283</v>
      </c>
      <c r="E173" s="32">
        <v>59.993812699999999</v>
      </c>
      <c r="F173" s="33">
        <v>0</v>
      </c>
      <c r="G173" s="29" t="s">
        <v>252</v>
      </c>
      <c r="H173" s="34">
        <v>221.40616510608939</v>
      </c>
      <c r="I173" s="32">
        <v>224.29571146599679</v>
      </c>
      <c r="J173" s="32">
        <v>171.49393511698449</v>
      </c>
      <c r="K173" s="32">
        <v>148.9452856642485</v>
      </c>
      <c r="L173" s="32">
        <v>150.91005395946519</v>
      </c>
      <c r="M173" s="32">
        <v>88.980109979415928</v>
      </c>
      <c r="N173" s="32">
        <v>42.085947922848042</v>
      </c>
      <c r="O173" s="32">
        <v>453.22697606961572</v>
      </c>
      <c r="P173" s="35">
        <v>4.5165860648949776</v>
      </c>
      <c r="Q173" s="35">
        <v>0.50151323482527332</v>
      </c>
      <c r="R173" s="32">
        <v>11.10381220726134</v>
      </c>
      <c r="S173" s="32">
        <v>3.0115946393615419E-2</v>
      </c>
      <c r="T173" s="32">
        <v>3.0113679138748781E-2</v>
      </c>
      <c r="U173" s="30"/>
      <c r="V173" s="36">
        <v>222</v>
      </c>
      <c r="W173" s="36">
        <v>222</v>
      </c>
      <c r="X173" s="36">
        <v>219</v>
      </c>
      <c r="Y173" s="36">
        <v>222</v>
      </c>
      <c r="Z173" s="36">
        <v>220</v>
      </c>
      <c r="AA173" s="36">
        <v>221</v>
      </c>
      <c r="AB173" s="36">
        <v>222</v>
      </c>
      <c r="AC173" s="36">
        <v>219</v>
      </c>
      <c r="AD173" s="36">
        <v>219</v>
      </c>
      <c r="AE173" s="36">
        <v>220</v>
      </c>
      <c r="AF173" s="36">
        <v>222</v>
      </c>
      <c r="AG173" s="36">
        <v>221</v>
      </c>
      <c r="AH173" s="36">
        <v>218</v>
      </c>
      <c r="AI173" s="36">
        <v>223</v>
      </c>
      <c r="AJ173" s="36">
        <v>225</v>
      </c>
      <c r="AK173" s="36">
        <v>219</v>
      </c>
      <c r="AL173" s="36">
        <v>219</v>
      </c>
      <c r="AM173" s="36">
        <v>221</v>
      </c>
      <c r="AN173" s="36">
        <v>224</v>
      </c>
      <c r="AO173" s="36">
        <v>220</v>
      </c>
      <c r="AP173" s="36">
        <v>222</v>
      </c>
      <c r="AQ173" s="36">
        <v>223</v>
      </c>
      <c r="AR173" s="36">
        <v>220</v>
      </c>
      <c r="AS173" s="36">
        <v>221</v>
      </c>
      <c r="AT173" s="36">
        <v>222</v>
      </c>
      <c r="AU173" s="36">
        <v>223</v>
      </c>
      <c r="AV173" s="36">
        <v>224</v>
      </c>
      <c r="AW173" s="36">
        <v>221</v>
      </c>
      <c r="AX173" s="36">
        <v>221</v>
      </c>
      <c r="AY173" s="36">
        <v>223</v>
      </c>
      <c r="AZ173" s="36">
        <v>223</v>
      </c>
      <c r="BA173" s="36">
        <v>221</v>
      </c>
      <c r="BB173" s="36">
        <v>221</v>
      </c>
      <c r="BC173" s="36">
        <v>223</v>
      </c>
      <c r="BD173" s="36">
        <v>223</v>
      </c>
      <c r="BE173" s="36">
        <v>222</v>
      </c>
      <c r="BF173" s="36">
        <v>223</v>
      </c>
      <c r="BG173" s="36">
        <v>221</v>
      </c>
      <c r="BH173" s="36">
        <v>222</v>
      </c>
      <c r="BI173" s="36">
        <v>223</v>
      </c>
      <c r="BJ173" s="36">
        <v>223</v>
      </c>
      <c r="BK173" s="36">
        <v>223</v>
      </c>
      <c r="BL173" s="36">
        <v>220</v>
      </c>
      <c r="BM173" s="36">
        <v>221</v>
      </c>
      <c r="BN173" s="36">
        <v>223</v>
      </c>
      <c r="BO173" s="36">
        <v>223</v>
      </c>
      <c r="BP173" s="36">
        <v>220</v>
      </c>
      <c r="BQ173" s="36">
        <v>221</v>
      </c>
      <c r="BR173" s="36">
        <v>221</v>
      </c>
      <c r="BS173" s="36">
        <v>219</v>
      </c>
      <c r="BT173" s="36">
        <v>224</v>
      </c>
      <c r="BU173" s="36">
        <v>217</v>
      </c>
      <c r="BV173" s="36">
        <v>218</v>
      </c>
      <c r="BW173" s="36">
        <v>221</v>
      </c>
      <c r="BX173" s="36">
        <v>221</v>
      </c>
      <c r="BY173" s="36">
        <v>223</v>
      </c>
      <c r="BZ173" s="36">
        <v>222</v>
      </c>
      <c r="CA173" s="36">
        <v>221</v>
      </c>
      <c r="CB173" s="36">
        <v>222</v>
      </c>
      <c r="CC173" s="36">
        <v>220</v>
      </c>
    </row>
    <row r="174" spans="1:81" x14ac:dyDescent="0.25">
      <c r="A174" s="29" t="s">
        <v>319</v>
      </c>
      <c r="B174" s="30">
        <v>3</v>
      </c>
      <c r="C174" s="29" t="s">
        <v>320</v>
      </c>
      <c r="D174" s="31">
        <v>13235</v>
      </c>
      <c r="E174" s="32">
        <v>59.992094999999999</v>
      </c>
      <c r="F174" s="33">
        <v>0</v>
      </c>
      <c r="G174" s="29" t="s">
        <v>252</v>
      </c>
      <c r="H174" s="34">
        <v>220.61239901690379</v>
      </c>
      <c r="I174" s="32">
        <v>223.63359871187049</v>
      </c>
      <c r="J174" s="32">
        <v>170.2582647618172</v>
      </c>
      <c r="K174" s="32">
        <v>149.34188763665691</v>
      </c>
      <c r="L174" s="32">
        <v>150.7717109192684</v>
      </c>
      <c r="M174" s="32">
        <v>90.683892575860867</v>
      </c>
      <c r="N174" s="32">
        <v>36.965160336382958</v>
      </c>
      <c r="O174" s="32">
        <v>369.0854063630324</v>
      </c>
      <c r="P174" s="35">
        <v>4.5328367963732532</v>
      </c>
      <c r="Q174" s="35">
        <v>0.50682027759620418</v>
      </c>
      <c r="R174" s="32">
        <v>11.181083731091171</v>
      </c>
      <c r="S174" s="32">
        <v>2.2668883179688681E-2</v>
      </c>
      <c r="T174" s="32">
        <v>2.2667170381564031E-2</v>
      </c>
      <c r="U174" s="30"/>
      <c r="V174" s="36">
        <v>222</v>
      </c>
      <c r="W174" s="36">
        <v>221</v>
      </c>
      <c r="X174" s="36">
        <v>219</v>
      </c>
      <c r="Y174" s="36">
        <v>220</v>
      </c>
      <c r="Z174" s="36">
        <v>223</v>
      </c>
      <c r="AA174" s="36">
        <v>224</v>
      </c>
      <c r="AB174" s="36">
        <v>222</v>
      </c>
      <c r="AC174" s="36">
        <v>223</v>
      </c>
      <c r="AD174" s="36">
        <v>219</v>
      </c>
      <c r="AE174" s="36">
        <v>224</v>
      </c>
      <c r="AF174" s="36">
        <v>223</v>
      </c>
      <c r="AG174" s="36">
        <v>221</v>
      </c>
      <c r="AH174" s="36">
        <v>223</v>
      </c>
      <c r="AI174" s="36">
        <v>225</v>
      </c>
      <c r="AJ174" s="36">
        <v>222</v>
      </c>
      <c r="AK174" s="36">
        <v>223</v>
      </c>
      <c r="AL174" s="36">
        <v>224</v>
      </c>
      <c r="AM174" s="36">
        <v>223</v>
      </c>
      <c r="AN174" s="36">
        <v>216</v>
      </c>
      <c r="AO174" s="36">
        <v>218</v>
      </c>
      <c r="AP174" s="36">
        <v>221</v>
      </c>
      <c r="AQ174" s="36">
        <v>224</v>
      </c>
      <c r="AR174" s="36">
        <v>221</v>
      </c>
      <c r="AS174" s="36">
        <v>221</v>
      </c>
      <c r="AT174" s="36">
        <v>220</v>
      </c>
      <c r="AU174" s="36">
        <v>222</v>
      </c>
      <c r="AV174" s="36">
        <v>221</v>
      </c>
      <c r="AW174" s="36">
        <v>221</v>
      </c>
      <c r="AX174" s="36">
        <v>221</v>
      </c>
      <c r="AY174" s="36">
        <v>221</v>
      </c>
      <c r="AZ174" s="36">
        <v>223</v>
      </c>
      <c r="BA174" s="36">
        <v>223</v>
      </c>
      <c r="BB174" s="36">
        <v>221</v>
      </c>
      <c r="BC174" s="36">
        <v>222</v>
      </c>
      <c r="BD174" s="36">
        <v>222</v>
      </c>
      <c r="BE174" s="36">
        <v>221</v>
      </c>
      <c r="BF174" s="36">
        <v>223</v>
      </c>
      <c r="BG174" s="36">
        <v>223</v>
      </c>
      <c r="BH174" s="36">
        <v>211</v>
      </c>
      <c r="BI174" s="36">
        <v>223</v>
      </c>
      <c r="BJ174" s="36">
        <v>221</v>
      </c>
      <c r="BK174" s="36">
        <v>213</v>
      </c>
      <c r="BL174" s="36">
        <v>214</v>
      </c>
      <c r="BM174" s="36">
        <v>213</v>
      </c>
      <c r="BN174" s="36">
        <v>212</v>
      </c>
      <c r="BO174" s="36">
        <v>214</v>
      </c>
      <c r="BP174" s="36">
        <v>214</v>
      </c>
      <c r="BQ174" s="36">
        <v>214</v>
      </c>
      <c r="BR174" s="36">
        <v>220</v>
      </c>
      <c r="BS174" s="36">
        <v>224</v>
      </c>
      <c r="BT174" s="36">
        <v>221</v>
      </c>
      <c r="BU174" s="36">
        <v>226</v>
      </c>
      <c r="BV174" s="36">
        <v>220</v>
      </c>
      <c r="BW174" s="36">
        <v>222</v>
      </c>
      <c r="BX174" s="36">
        <v>221</v>
      </c>
      <c r="BY174" s="36">
        <v>223</v>
      </c>
      <c r="BZ174" s="36">
        <v>222</v>
      </c>
      <c r="CA174" s="36">
        <v>222</v>
      </c>
      <c r="CB174" s="36">
        <v>218</v>
      </c>
      <c r="CC174" s="36">
        <v>221</v>
      </c>
    </row>
    <row r="175" spans="1:81" x14ac:dyDescent="0.25">
      <c r="A175" s="29" t="s">
        <v>319</v>
      </c>
      <c r="B175" s="30">
        <v>4</v>
      </c>
      <c r="C175" s="29" t="s">
        <v>320</v>
      </c>
      <c r="D175" s="31">
        <v>13274</v>
      </c>
      <c r="E175" s="32">
        <v>59.9793363</v>
      </c>
      <c r="F175" s="33">
        <v>0</v>
      </c>
      <c r="G175" s="29" t="s">
        <v>252</v>
      </c>
      <c r="H175" s="34">
        <v>221.3095512362313</v>
      </c>
      <c r="I175" s="32">
        <v>224.290680722216</v>
      </c>
      <c r="J175" s="32">
        <v>171.00576699848619</v>
      </c>
      <c r="K175" s="32">
        <v>149.7532119480702</v>
      </c>
      <c r="L175" s="32">
        <v>151.17745641769889</v>
      </c>
      <c r="M175" s="32">
        <v>83.240104416386984</v>
      </c>
      <c r="N175" s="32">
        <v>35.861059909486677</v>
      </c>
      <c r="O175" s="32">
        <v>500.10002000400078</v>
      </c>
      <c r="P175" s="35">
        <v>4.5185578047310537</v>
      </c>
      <c r="Q175" s="35">
        <v>0.50803280758450209</v>
      </c>
      <c r="R175" s="32">
        <v>11.243251265980881</v>
      </c>
      <c r="S175" s="32">
        <v>2.2602275295713101E-2</v>
      </c>
      <c r="T175" s="32">
        <v>1.5067048365225251E-2</v>
      </c>
      <c r="U175" s="30"/>
      <c r="V175" s="36">
        <v>223</v>
      </c>
      <c r="W175" s="36">
        <v>221</v>
      </c>
      <c r="X175" s="36">
        <v>222</v>
      </c>
      <c r="Y175" s="36">
        <v>216</v>
      </c>
      <c r="Z175" s="36">
        <v>222</v>
      </c>
      <c r="AA175" s="36">
        <v>225</v>
      </c>
      <c r="AB175" s="36">
        <v>221</v>
      </c>
      <c r="AC175" s="36">
        <v>222</v>
      </c>
      <c r="AD175" s="36">
        <v>220</v>
      </c>
      <c r="AE175" s="36">
        <v>220</v>
      </c>
      <c r="AF175" s="36">
        <v>223</v>
      </c>
      <c r="AG175" s="36">
        <v>222</v>
      </c>
      <c r="AH175" s="36">
        <v>219</v>
      </c>
      <c r="AI175" s="36">
        <v>221</v>
      </c>
      <c r="AJ175" s="36">
        <v>223</v>
      </c>
      <c r="AK175" s="36">
        <v>222</v>
      </c>
      <c r="AL175" s="36">
        <v>223</v>
      </c>
      <c r="AM175" s="36">
        <v>221</v>
      </c>
      <c r="AN175" s="36">
        <v>221</v>
      </c>
      <c r="AO175" s="36">
        <v>220</v>
      </c>
      <c r="AP175" s="36">
        <v>220</v>
      </c>
      <c r="AQ175" s="36">
        <v>224</v>
      </c>
      <c r="AR175" s="36">
        <v>223</v>
      </c>
      <c r="AS175" s="36">
        <v>219</v>
      </c>
      <c r="AT175" s="36">
        <v>215</v>
      </c>
      <c r="AU175" s="36">
        <v>221</v>
      </c>
      <c r="AV175" s="36">
        <v>220</v>
      </c>
      <c r="AW175" s="36">
        <v>223</v>
      </c>
      <c r="AX175" s="36">
        <v>220</v>
      </c>
      <c r="AY175" s="36">
        <v>225</v>
      </c>
      <c r="AZ175" s="36">
        <v>223</v>
      </c>
      <c r="BA175" s="36">
        <v>223</v>
      </c>
      <c r="BB175" s="36">
        <v>222</v>
      </c>
      <c r="BC175" s="36">
        <v>218</v>
      </c>
      <c r="BD175" s="36">
        <v>221</v>
      </c>
      <c r="BE175" s="36">
        <v>221</v>
      </c>
      <c r="BF175" s="36">
        <v>224</v>
      </c>
      <c r="BG175" s="36">
        <v>224</v>
      </c>
      <c r="BH175" s="36">
        <v>221</v>
      </c>
      <c r="BI175" s="36">
        <v>219</v>
      </c>
      <c r="BJ175" s="36">
        <v>222</v>
      </c>
      <c r="BK175" s="36">
        <v>220</v>
      </c>
      <c r="BL175" s="36">
        <v>222</v>
      </c>
      <c r="BM175" s="36">
        <v>217</v>
      </c>
      <c r="BN175" s="36">
        <v>224</v>
      </c>
      <c r="BO175" s="36">
        <v>225</v>
      </c>
      <c r="BP175" s="36">
        <v>221</v>
      </c>
      <c r="BQ175" s="36">
        <v>222</v>
      </c>
      <c r="BR175" s="36">
        <v>221</v>
      </c>
      <c r="BS175" s="36">
        <v>219</v>
      </c>
      <c r="BT175" s="36">
        <v>220</v>
      </c>
      <c r="BU175" s="36">
        <v>222</v>
      </c>
      <c r="BV175" s="36">
        <v>223</v>
      </c>
      <c r="BW175" s="36">
        <v>217</v>
      </c>
      <c r="BX175" s="36">
        <v>221</v>
      </c>
      <c r="BY175" s="36">
        <v>223</v>
      </c>
      <c r="BZ175" s="36">
        <v>220</v>
      </c>
      <c r="CA175" s="36">
        <v>223</v>
      </c>
      <c r="CB175" s="36">
        <v>223</v>
      </c>
      <c r="CC175" s="36">
        <v>216</v>
      </c>
    </row>
    <row r="176" spans="1:81" x14ac:dyDescent="0.25">
      <c r="A176" s="29" t="s">
        <v>319</v>
      </c>
      <c r="B176" s="30">
        <v>5</v>
      </c>
      <c r="C176" s="29" t="s">
        <v>320</v>
      </c>
      <c r="D176" s="31">
        <v>13265</v>
      </c>
      <c r="E176" s="32">
        <v>59.9988782</v>
      </c>
      <c r="F176" s="33">
        <v>0</v>
      </c>
      <c r="G176" s="29" t="s">
        <v>252</v>
      </c>
      <c r="H176" s="34">
        <v>221.08746693200669</v>
      </c>
      <c r="I176" s="32">
        <v>224.13986327468339</v>
      </c>
      <c r="J176" s="32">
        <v>170.59559699587979</v>
      </c>
      <c r="K176" s="32">
        <v>149.65195743563069</v>
      </c>
      <c r="L176" s="32">
        <v>150.8931881840353</v>
      </c>
      <c r="M176" s="32">
        <v>88.599071481730874</v>
      </c>
      <c r="N176" s="32">
        <v>41.080414912190612</v>
      </c>
      <c r="O176" s="32">
        <v>320.62586168200329</v>
      </c>
      <c r="P176" s="35">
        <v>4.5230967357708254</v>
      </c>
      <c r="Q176" s="35">
        <v>0.50399542811394649</v>
      </c>
      <c r="R176" s="32">
        <v>11.14270725470247</v>
      </c>
      <c r="S176" s="32">
        <v>7.5392038600723774E-3</v>
      </c>
      <c r="T176" s="32">
        <v>3.0154542027892951E-2</v>
      </c>
      <c r="U176" s="30"/>
      <c r="V176" s="36">
        <v>217</v>
      </c>
      <c r="W176" s="36">
        <v>218</v>
      </c>
      <c r="X176" s="36">
        <v>220</v>
      </c>
      <c r="Y176" s="36">
        <v>219</v>
      </c>
      <c r="Z176" s="36">
        <v>221</v>
      </c>
      <c r="AA176" s="36">
        <v>223</v>
      </c>
      <c r="AB176" s="36">
        <v>219</v>
      </c>
      <c r="AC176" s="36">
        <v>221</v>
      </c>
      <c r="AD176" s="36">
        <v>222</v>
      </c>
      <c r="AE176" s="36">
        <v>220</v>
      </c>
      <c r="AF176" s="36">
        <v>220</v>
      </c>
      <c r="AG176" s="36">
        <v>214</v>
      </c>
      <c r="AH176" s="36">
        <v>222</v>
      </c>
      <c r="AI176" s="36">
        <v>223</v>
      </c>
      <c r="AJ176" s="36">
        <v>223</v>
      </c>
      <c r="AK176" s="36">
        <v>219</v>
      </c>
      <c r="AL176" s="36">
        <v>224</v>
      </c>
      <c r="AM176" s="36">
        <v>220</v>
      </c>
      <c r="AN176" s="36">
        <v>223</v>
      </c>
      <c r="AO176" s="36">
        <v>219</v>
      </c>
      <c r="AP176" s="36">
        <v>224</v>
      </c>
      <c r="AQ176" s="36">
        <v>223</v>
      </c>
      <c r="AR176" s="36">
        <v>223</v>
      </c>
      <c r="AS176" s="36">
        <v>220</v>
      </c>
      <c r="AT176" s="36">
        <v>220</v>
      </c>
      <c r="AU176" s="36">
        <v>220</v>
      </c>
      <c r="AV176" s="36">
        <v>222</v>
      </c>
      <c r="AW176" s="36">
        <v>224</v>
      </c>
      <c r="AX176" s="36">
        <v>219</v>
      </c>
      <c r="AY176" s="36">
        <v>221</v>
      </c>
      <c r="AZ176" s="36">
        <v>223</v>
      </c>
      <c r="BA176" s="36">
        <v>220</v>
      </c>
      <c r="BB176" s="36">
        <v>222</v>
      </c>
      <c r="BC176" s="36">
        <v>221</v>
      </c>
      <c r="BD176" s="36">
        <v>224</v>
      </c>
      <c r="BE176" s="36">
        <v>221</v>
      </c>
      <c r="BF176" s="36">
        <v>219</v>
      </c>
      <c r="BG176" s="36">
        <v>221</v>
      </c>
      <c r="BH176" s="36">
        <v>222</v>
      </c>
      <c r="BI176" s="36">
        <v>219</v>
      </c>
      <c r="BJ176" s="36">
        <v>222</v>
      </c>
      <c r="BK176" s="36">
        <v>221</v>
      </c>
      <c r="BL176" s="36">
        <v>224</v>
      </c>
      <c r="BM176" s="36">
        <v>221</v>
      </c>
      <c r="BN176" s="36">
        <v>222</v>
      </c>
      <c r="BO176" s="36">
        <v>222</v>
      </c>
      <c r="BP176" s="36">
        <v>222</v>
      </c>
      <c r="BQ176" s="36">
        <v>221</v>
      </c>
      <c r="BR176" s="36">
        <v>220</v>
      </c>
      <c r="BS176" s="36">
        <v>218</v>
      </c>
      <c r="BT176" s="36">
        <v>224</v>
      </c>
      <c r="BU176" s="36">
        <v>225</v>
      </c>
      <c r="BV176" s="36">
        <v>221</v>
      </c>
      <c r="BW176" s="36">
        <v>220</v>
      </c>
      <c r="BX176" s="36">
        <v>220</v>
      </c>
      <c r="BY176" s="36">
        <v>220</v>
      </c>
      <c r="BZ176" s="36">
        <v>220</v>
      </c>
      <c r="CA176" s="36">
        <v>224</v>
      </c>
      <c r="CB176" s="36">
        <v>224</v>
      </c>
      <c r="CC176" s="36">
        <v>219</v>
      </c>
    </row>
    <row r="177" spans="1:81" x14ac:dyDescent="0.25">
      <c r="A177" s="21" t="s">
        <v>321</v>
      </c>
      <c r="B177" s="22">
        <v>1</v>
      </c>
      <c r="C177" s="21" t="s">
        <v>322</v>
      </c>
      <c r="D177" s="23">
        <v>13352</v>
      </c>
      <c r="E177" s="24">
        <v>60.005991299999998</v>
      </c>
      <c r="F177" s="25">
        <v>0</v>
      </c>
      <c r="G177" s="21" t="s">
        <v>252</v>
      </c>
      <c r="H177" s="26">
        <v>222.5111144859963</v>
      </c>
      <c r="I177" s="24">
        <v>225.68269013766641</v>
      </c>
      <c r="J177" s="24">
        <v>169.83438939187229</v>
      </c>
      <c r="K177" s="24">
        <v>151.92707876998111</v>
      </c>
      <c r="L177" s="24">
        <v>151.30509791767611</v>
      </c>
      <c r="M177" s="24">
        <v>91.088784237996776</v>
      </c>
      <c r="N177" s="24">
        <v>36.534351423926353</v>
      </c>
      <c r="O177" s="24">
        <v>458.65247901664912</v>
      </c>
      <c r="P177" s="27">
        <v>4.4941575269622529</v>
      </c>
      <c r="Q177" s="27">
        <v>0.50357873399796849</v>
      </c>
      <c r="R177" s="24">
        <v>11.205186533333499</v>
      </c>
      <c r="S177" s="24">
        <v>1.498015129952813E-2</v>
      </c>
      <c r="T177" s="24">
        <v>7.4895146794487716E-3</v>
      </c>
      <c r="U177" s="22"/>
      <c r="V177" s="28">
        <v>223</v>
      </c>
      <c r="W177" s="28">
        <v>224</v>
      </c>
      <c r="X177" s="28">
        <v>216</v>
      </c>
      <c r="Y177" s="28">
        <v>224</v>
      </c>
      <c r="Z177" s="28">
        <v>223</v>
      </c>
      <c r="AA177" s="28">
        <v>223</v>
      </c>
      <c r="AB177" s="28">
        <v>219</v>
      </c>
      <c r="AC177" s="28">
        <v>225</v>
      </c>
      <c r="AD177" s="28">
        <v>225</v>
      </c>
      <c r="AE177" s="28">
        <v>223</v>
      </c>
      <c r="AF177" s="28">
        <v>221</v>
      </c>
      <c r="AG177" s="28">
        <v>223</v>
      </c>
      <c r="AH177" s="28">
        <v>221</v>
      </c>
      <c r="AI177" s="28">
        <v>224</v>
      </c>
      <c r="AJ177" s="28">
        <v>221</v>
      </c>
      <c r="AK177" s="28">
        <v>224</v>
      </c>
      <c r="AL177" s="28">
        <v>221</v>
      </c>
      <c r="AM177" s="28">
        <v>220</v>
      </c>
      <c r="AN177" s="28">
        <v>222</v>
      </c>
      <c r="AO177" s="28">
        <v>220</v>
      </c>
      <c r="AP177" s="28">
        <v>223</v>
      </c>
      <c r="AQ177" s="28">
        <v>223</v>
      </c>
      <c r="AR177" s="28">
        <v>218</v>
      </c>
      <c r="AS177" s="28">
        <v>222</v>
      </c>
      <c r="AT177" s="28">
        <v>221</v>
      </c>
      <c r="AU177" s="28">
        <v>223</v>
      </c>
      <c r="AV177" s="28">
        <v>220</v>
      </c>
      <c r="AW177" s="28">
        <v>223</v>
      </c>
      <c r="AX177" s="28">
        <v>224</v>
      </c>
      <c r="AY177" s="28">
        <v>222</v>
      </c>
      <c r="AZ177" s="28">
        <v>223</v>
      </c>
      <c r="BA177" s="28">
        <v>226</v>
      </c>
      <c r="BB177" s="28">
        <v>223</v>
      </c>
      <c r="BC177" s="28">
        <v>222</v>
      </c>
      <c r="BD177" s="28">
        <v>225</v>
      </c>
      <c r="BE177" s="28">
        <v>225</v>
      </c>
      <c r="BF177" s="28">
        <v>221</v>
      </c>
      <c r="BG177" s="28">
        <v>224</v>
      </c>
      <c r="BH177" s="28">
        <v>225</v>
      </c>
      <c r="BI177" s="28">
        <v>224</v>
      </c>
      <c r="BJ177" s="28">
        <v>224</v>
      </c>
      <c r="BK177" s="28">
        <v>224</v>
      </c>
      <c r="BL177" s="28">
        <v>221</v>
      </c>
      <c r="BM177" s="28">
        <v>220</v>
      </c>
      <c r="BN177" s="28">
        <v>220</v>
      </c>
      <c r="BO177" s="28">
        <v>223</v>
      </c>
      <c r="BP177" s="28">
        <v>220</v>
      </c>
      <c r="BQ177" s="28">
        <v>226</v>
      </c>
      <c r="BR177" s="28">
        <v>222</v>
      </c>
      <c r="BS177" s="28">
        <v>223</v>
      </c>
      <c r="BT177" s="28">
        <v>224</v>
      </c>
      <c r="BU177" s="28">
        <v>224</v>
      </c>
      <c r="BV177" s="28">
        <v>223</v>
      </c>
      <c r="BW177" s="28">
        <v>222</v>
      </c>
      <c r="BX177" s="28">
        <v>223</v>
      </c>
      <c r="BY177" s="28">
        <v>223</v>
      </c>
      <c r="BZ177" s="28">
        <v>221</v>
      </c>
      <c r="CA177" s="28">
        <v>222</v>
      </c>
      <c r="CB177" s="28">
        <v>225</v>
      </c>
      <c r="CC177" s="28">
        <v>222</v>
      </c>
    </row>
    <row r="178" spans="1:81" x14ac:dyDescent="0.25">
      <c r="A178" s="21" t="s">
        <v>321</v>
      </c>
      <c r="B178" s="22">
        <v>2</v>
      </c>
      <c r="C178" s="21" t="s">
        <v>322</v>
      </c>
      <c r="D178" s="23">
        <v>13355</v>
      </c>
      <c r="E178" s="24">
        <v>59.994957799999987</v>
      </c>
      <c r="F178" s="25">
        <v>0</v>
      </c>
      <c r="G178" s="21" t="s">
        <v>252</v>
      </c>
      <c r="H178" s="26">
        <v>222.60204006677381</v>
      </c>
      <c r="I178" s="24">
        <v>226.11644997173539</v>
      </c>
      <c r="J178" s="24">
        <v>170.0280070133152</v>
      </c>
      <c r="K178" s="24">
        <v>151.8512812284813</v>
      </c>
      <c r="L178" s="24">
        <v>150.87272410153631</v>
      </c>
      <c r="M178" s="24">
        <v>91.667010417955723</v>
      </c>
      <c r="N178" s="24">
        <v>38.155851390590001</v>
      </c>
      <c r="O178" s="24">
        <v>440.1602183194683</v>
      </c>
      <c r="P178" s="27">
        <v>4.4923218120554091</v>
      </c>
      <c r="Q178" s="27">
        <v>0.49886162524085498</v>
      </c>
      <c r="R178" s="24">
        <v>11.104761548964071</v>
      </c>
      <c r="S178" s="24">
        <v>2.9953571963456639E-2</v>
      </c>
      <c r="T178" s="24">
        <v>1.497566454511419E-2</v>
      </c>
      <c r="U178" s="22"/>
      <c r="V178" s="28">
        <v>226</v>
      </c>
      <c r="W178" s="28">
        <v>220</v>
      </c>
      <c r="X178" s="28">
        <v>224</v>
      </c>
      <c r="Y178" s="28">
        <v>223</v>
      </c>
      <c r="Z178" s="28">
        <v>221</v>
      </c>
      <c r="AA178" s="28">
        <v>222</v>
      </c>
      <c r="AB178" s="28">
        <v>223</v>
      </c>
      <c r="AC178" s="28">
        <v>224</v>
      </c>
      <c r="AD178" s="28">
        <v>224</v>
      </c>
      <c r="AE178" s="28">
        <v>222</v>
      </c>
      <c r="AF178" s="28">
        <v>218</v>
      </c>
      <c r="AG178" s="28">
        <v>220</v>
      </c>
      <c r="AH178" s="28">
        <v>222</v>
      </c>
      <c r="AI178" s="28">
        <v>224</v>
      </c>
      <c r="AJ178" s="28">
        <v>222</v>
      </c>
      <c r="AK178" s="28">
        <v>224</v>
      </c>
      <c r="AL178" s="28">
        <v>224</v>
      </c>
      <c r="AM178" s="28">
        <v>222</v>
      </c>
      <c r="AN178" s="28">
        <v>225</v>
      </c>
      <c r="AO178" s="28">
        <v>223</v>
      </c>
      <c r="AP178" s="28">
        <v>224</v>
      </c>
      <c r="AQ178" s="28">
        <v>220</v>
      </c>
      <c r="AR178" s="28">
        <v>225</v>
      </c>
      <c r="AS178" s="28">
        <v>226</v>
      </c>
      <c r="AT178" s="28">
        <v>223</v>
      </c>
      <c r="AU178" s="28">
        <v>224</v>
      </c>
      <c r="AV178" s="28">
        <v>223</v>
      </c>
      <c r="AW178" s="28">
        <v>222</v>
      </c>
      <c r="AX178" s="28">
        <v>223</v>
      </c>
      <c r="AY178" s="28">
        <v>221</v>
      </c>
      <c r="AZ178" s="28">
        <v>222</v>
      </c>
      <c r="BA178" s="28">
        <v>220</v>
      </c>
      <c r="BB178" s="28">
        <v>224</v>
      </c>
      <c r="BC178" s="28">
        <v>221</v>
      </c>
      <c r="BD178" s="28">
        <v>224</v>
      </c>
      <c r="BE178" s="28">
        <v>222</v>
      </c>
      <c r="BF178" s="28">
        <v>226</v>
      </c>
      <c r="BG178" s="28">
        <v>220</v>
      </c>
      <c r="BH178" s="28">
        <v>224</v>
      </c>
      <c r="BI178" s="28">
        <v>225</v>
      </c>
      <c r="BJ178" s="28">
        <v>221</v>
      </c>
      <c r="BK178" s="28">
        <v>219</v>
      </c>
      <c r="BL178" s="28">
        <v>223</v>
      </c>
      <c r="BM178" s="28">
        <v>224</v>
      </c>
      <c r="BN178" s="28">
        <v>223</v>
      </c>
      <c r="BO178" s="28">
        <v>225</v>
      </c>
      <c r="BP178" s="28">
        <v>224</v>
      </c>
      <c r="BQ178" s="28">
        <v>222</v>
      </c>
      <c r="BR178" s="28">
        <v>219</v>
      </c>
      <c r="BS178" s="28">
        <v>216</v>
      </c>
      <c r="BT178" s="28">
        <v>226</v>
      </c>
      <c r="BU178" s="28">
        <v>219</v>
      </c>
      <c r="BV178" s="28">
        <v>223</v>
      </c>
      <c r="BW178" s="28">
        <v>223</v>
      </c>
      <c r="BX178" s="28">
        <v>224</v>
      </c>
      <c r="BY178" s="28">
        <v>223</v>
      </c>
      <c r="BZ178" s="28">
        <v>222</v>
      </c>
      <c r="CA178" s="28">
        <v>223</v>
      </c>
      <c r="CB178" s="28">
        <v>222</v>
      </c>
      <c r="CC178" s="28">
        <v>222</v>
      </c>
    </row>
    <row r="179" spans="1:81" x14ac:dyDescent="0.25">
      <c r="A179" s="21" t="s">
        <v>321</v>
      </c>
      <c r="B179" s="22">
        <v>3</v>
      </c>
      <c r="C179" s="21" t="s">
        <v>322</v>
      </c>
      <c r="D179" s="23">
        <v>13360</v>
      </c>
      <c r="E179" s="24">
        <v>60.014743199999998</v>
      </c>
      <c r="F179" s="25">
        <v>0</v>
      </c>
      <c r="G179" s="21" t="s">
        <v>252</v>
      </c>
      <c r="H179" s="26">
        <v>222.61196645426949</v>
      </c>
      <c r="I179" s="24">
        <v>226.2699400384659</v>
      </c>
      <c r="J179" s="24">
        <v>173.55100099878609</v>
      </c>
      <c r="K179" s="24">
        <v>151.47574487061351</v>
      </c>
      <c r="L179" s="24">
        <v>152.06880518382721</v>
      </c>
      <c r="M179" s="24">
        <v>91.470944254557537</v>
      </c>
      <c r="N179" s="24">
        <v>41.502730879691882</v>
      </c>
      <c r="O179" s="24">
        <v>376.37848620572851</v>
      </c>
      <c r="P179" s="27">
        <v>4.4921214970059884</v>
      </c>
      <c r="Q179" s="27">
        <v>0.49259175182302201</v>
      </c>
      <c r="R179" s="24">
        <v>10.96568185324764</v>
      </c>
      <c r="S179" s="24">
        <v>2.9942360955161319E-2</v>
      </c>
      <c r="T179" s="24">
        <v>1.4970059880239519E-2</v>
      </c>
      <c r="U179" s="22"/>
      <c r="V179" s="28">
        <v>223</v>
      </c>
      <c r="W179" s="28">
        <v>224</v>
      </c>
      <c r="X179" s="28">
        <v>225</v>
      </c>
      <c r="Y179" s="28">
        <v>224</v>
      </c>
      <c r="Z179" s="28">
        <v>223</v>
      </c>
      <c r="AA179" s="28">
        <v>223</v>
      </c>
      <c r="AB179" s="28">
        <v>220</v>
      </c>
      <c r="AC179" s="28">
        <v>224</v>
      </c>
      <c r="AD179" s="28">
        <v>225</v>
      </c>
      <c r="AE179" s="28">
        <v>224</v>
      </c>
      <c r="AF179" s="28">
        <v>224</v>
      </c>
      <c r="AG179" s="28">
        <v>222</v>
      </c>
      <c r="AH179" s="28">
        <v>224</v>
      </c>
      <c r="AI179" s="28">
        <v>221</v>
      </c>
      <c r="AJ179" s="28">
        <v>224</v>
      </c>
      <c r="AK179" s="28">
        <v>223</v>
      </c>
      <c r="AL179" s="28">
        <v>219</v>
      </c>
      <c r="AM179" s="28">
        <v>223</v>
      </c>
      <c r="AN179" s="28">
        <v>223</v>
      </c>
      <c r="AO179" s="28">
        <v>224</v>
      </c>
      <c r="AP179" s="28">
        <v>225</v>
      </c>
      <c r="AQ179" s="28">
        <v>224</v>
      </c>
      <c r="AR179" s="28">
        <v>223</v>
      </c>
      <c r="AS179" s="28">
        <v>221</v>
      </c>
      <c r="AT179" s="28">
        <v>224</v>
      </c>
      <c r="AU179" s="28">
        <v>223</v>
      </c>
      <c r="AV179" s="28">
        <v>219</v>
      </c>
      <c r="AW179" s="28">
        <v>222</v>
      </c>
      <c r="AX179" s="28">
        <v>222</v>
      </c>
      <c r="AY179" s="28">
        <v>222</v>
      </c>
      <c r="AZ179" s="28">
        <v>223</v>
      </c>
      <c r="BA179" s="28">
        <v>224</v>
      </c>
      <c r="BB179" s="28">
        <v>224</v>
      </c>
      <c r="BC179" s="28">
        <v>222</v>
      </c>
      <c r="BD179" s="28">
        <v>222</v>
      </c>
      <c r="BE179" s="28">
        <v>217</v>
      </c>
      <c r="BF179" s="28">
        <v>220</v>
      </c>
      <c r="BG179" s="28">
        <v>225</v>
      </c>
      <c r="BH179" s="28">
        <v>224</v>
      </c>
      <c r="BI179" s="28">
        <v>225</v>
      </c>
      <c r="BJ179" s="28">
        <v>223</v>
      </c>
      <c r="BK179" s="28">
        <v>223</v>
      </c>
      <c r="BL179" s="28">
        <v>223</v>
      </c>
      <c r="BM179" s="28">
        <v>223</v>
      </c>
      <c r="BN179" s="28">
        <v>224</v>
      </c>
      <c r="BO179" s="28">
        <v>223</v>
      </c>
      <c r="BP179" s="28">
        <v>220</v>
      </c>
      <c r="BQ179" s="28">
        <v>223</v>
      </c>
      <c r="BR179" s="28">
        <v>224</v>
      </c>
      <c r="BS179" s="28">
        <v>223</v>
      </c>
      <c r="BT179" s="28">
        <v>222</v>
      </c>
      <c r="BU179" s="28">
        <v>222</v>
      </c>
      <c r="BV179" s="28">
        <v>223</v>
      </c>
      <c r="BW179" s="28">
        <v>221</v>
      </c>
      <c r="BX179" s="28">
        <v>221</v>
      </c>
      <c r="BY179" s="28">
        <v>218</v>
      </c>
      <c r="BZ179" s="28">
        <v>219</v>
      </c>
      <c r="CA179" s="28">
        <v>223</v>
      </c>
      <c r="CB179" s="28">
        <v>223</v>
      </c>
      <c r="CC179" s="28">
        <v>223</v>
      </c>
    </row>
    <row r="180" spans="1:81" x14ac:dyDescent="0.25">
      <c r="A180" s="21" t="s">
        <v>321</v>
      </c>
      <c r="B180" s="22">
        <v>4</v>
      </c>
      <c r="C180" s="21" t="s">
        <v>322</v>
      </c>
      <c r="D180" s="23">
        <v>13271</v>
      </c>
      <c r="E180" s="24">
        <v>59.979074900000008</v>
      </c>
      <c r="F180" s="25">
        <v>0</v>
      </c>
      <c r="G180" s="21" t="s">
        <v>252</v>
      </c>
      <c r="H180" s="26">
        <v>221.26049830088331</v>
      </c>
      <c r="I180" s="24">
        <v>224.25044289462471</v>
      </c>
      <c r="J180" s="24">
        <v>169.689112576848</v>
      </c>
      <c r="K180" s="24">
        <v>154.15657776097089</v>
      </c>
      <c r="L180" s="24">
        <v>152.56342202408871</v>
      </c>
      <c r="M180" s="24">
        <v>91.818652040975607</v>
      </c>
      <c r="N180" s="24">
        <v>41.642375281086032</v>
      </c>
      <c r="O180" s="24">
        <v>351.27160320359701</v>
      </c>
      <c r="P180" s="27">
        <v>4.5195595584356871</v>
      </c>
      <c r="Q180" s="27">
        <v>0.5013370934625353</v>
      </c>
      <c r="R180" s="24">
        <v>11.092609511623699</v>
      </c>
      <c r="S180" s="24">
        <v>2.2607385079125849E-2</v>
      </c>
      <c r="T180" s="24">
        <v>2.2605681561299069E-2</v>
      </c>
      <c r="U180" s="22"/>
      <c r="V180" s="28">
        <v>222</v>
      </c>
      <c r="W180" s="28">
        <v>222</v>
      </c>
      <c r="X180" s="28">
        <v>219</v>
      </c>
      <c r="Y180" s="28">
        <v>222</v>
      </c>
      <c r="Z180" s="28">
        <v>223</v>
      </c>
      <c r="AA180" s="28">
        <v>223</v>
      </c>
      <c r="AB180" s="28">
        <v>225</v>
      </c>
      <c r="AC180" s="28">
        <v>222</v>
      </c>
      <c r="AD180" s="28">
        <v>225</v>
      </c>
      <c r="AE180" s="28">
        <v>221</v>
      </c>
      <c r="AF180" s="28">
        <v>225</v>
      </c>
      <c r="AG180" s="28">
        <v>219</v>
      </c>
      <c r="AH180" s="28">
        <v>218</v>
      </c>
      <c r="AI180" s="28">
        <v>221</v>
      </c>
      <c r="AJ180" s="28">
        <v>221</v>
      </c>
      <c r="AK180" s="28">
        <v>225</v>
      </c>
      <c r="AL180" s="28">
        <v>220</v>
      </c>
      <c r="AM180" s="28">
        <v>225</v>
      </c>
      <c r="AN180" s="28">
        <v>224</v>
      </c>
      <c r="AO180" s="28">
        <v>226</v>
      </c>
      <c r="AP180" s="28">
        <v>223</v>
      </c>
      <c r="AQ180" s="28">
        <v>224</v>
      </c>
      <c r="AR180" s="28">
        <v>215</v>
      </c>
      <c r="AS180" s="28">
        <v>223</v>
      </c>
      <c r="AT180" s="28">
        <v>221</v>
      </c>
      <c r="AU180" s="28">
        <v>226</v>
      </c>
      <c r="AV180" s="28">
        <v>225</v>
      </c>
      <c r="AW180" s="28">
        <v>220</v>
      </c>
      <c r="AX180" s="28">
        <v>221</v>
      </c>
      <c r="AY180" s="28">
        <v>222</v>
      </c>
      <c r="AZ180" s="28">
        <v>221</v>
      </c>
      <c r="BA180" s="28">
        <v>223</v>
      </c>
      <c r="BB180" s="28">
        <v>217</v>
      </c>
      <c r="BC180" s="28">
        <v>223</v>
      </c>
      <c r="BD180" s="28">
        <v>224</v>
      </c>
      <c r="BE180" s="28">
        <v>222</v>
      </c>
      <c r="BF180" s="28">
        <v>222</v>
      </c>
      <c r="BG180" s="28">
        <v>219</v>
      </c>
      <c r="BH180" s="28">
        <v>220</v>
      </c>
      <c r="BI180" s="28">
        <v>218</v>
      </c>
      <c r="BJ180" s="28">
        <v>220</v>
      </c>
      <c r="BK180" s="28">
        <v>225</v>
      </c>
      <c r="BL180" s="28">
        <v>218</v>
      </c>
      <c r="BM180" s="28">
        <v>221</v>
      </c>
      <c r="BN180" s="28">
        <v>221</v>
      </c>
      <c r="BO180" s="28">
        <v>225</v>
      </c>
      <c r="BP180" s="28">
        <v>221</v>
      </c>
      <c r="BQ180" s="28">
        <v>215</v>
      </c>
      <c r="BR180" s="28">
        <v>214</v>
      </c>
      <c r="BS180" s="28">
        <v>217</v>
      </c>
      <c r="BT180" s="28">
        <v>215</v>
      </c>
      <c r="BU180" s="28">
        <v>213</v>
      </c>
      <c r="BV180" s="28">
        <v>211</v>
      </c>
      <c r="BW180" s="28">
        <v>218</v>
      </c>
      <c r="BX180" s="28">
        <v>223</v>
      </c>
      <c r="BY180" s="28">
        <v>226</v>
      </c>
      <c r="BZ180" s="28">
        <v>226</v>
      </c>
      <c r="CA180" s="28">
        <v>225</v>
      </c>
      <c r="CB180" s="28">
        <v>223</v>
      </c>
      <c r="CC180" s="28">
        <v>217</v>
      </c>
    </row>
    <row r="181" spans="1:81" x14ac:dyDescent="0.25">
      <c r="A181" s="21" t="s">
        <v>321</v>
      </c>
      <c r="B181" s="22">
        <v>5</v>
      </c>
      <c r="C181" s="21" t="s">
        <v>322</v>
      </c>
      <c r="D181" s="23">
        <v>13315</v>
      </c>
      <c r="E181" s="24">
        <v>59.993563999999999</v>
      </c>
      <c r="F181" s="25">
        <v>0</v>
      </c>
      <c r="G181" s="21" t="s">
        <v>252</v>
      </c>
      <c r="H181" s="26">
        <v>221.9404734814554</v>
      </c>
      <c r="I181" s="24">
        <v>225.44356020470281</v>
      </c>
      <c r="J181" s="24">
        <v>170.41755709840231</v>
      </c>
      <c r="K181" s="24">
        <v>149.95913913376839</v>
      </c>
      <c r="L181" s="24">
        <v>150.72051861108559</v>
      </c>
      <c r="M181" s="24">
        <v>78.876670016295918</v>
      </c>
      <c r="N181" s="24">
        <v>39.240307644011928</v>
      </c>
      <c r="O181" s="24">
        <v>321.9264076232173</v>
      </c>
      <c r="P181" s="27">
        <v>4.5057126549004876</v>
      </c>
      <c r="Q181" s="27">
        <v>0.50225067533911549</v>
      </c>
      <c r="R181" s="24">
        <v>11.1469752691144</v>
      </c>
      <c r="S181" s="24">
        <v>1.5021781583295779E-2</v>
      </c>
      <c r="T181" s="24">
        <v>2.253098009763425E-2</v>
      </c>
      <c r="U181" s="22"/>
      <c r="V181" s="28">
        <v>222</v>
      </c>
      <c r="W181" s="28">
        <v>218</v>
      </c>
      <c r="X181" s="28">
        <v>220</v>
      </c>
      <c r="Y181" s="28">
        <v>223</v>
      </c>
      <c r="Z181" s="28">
        <v>222</v>
      </c>
      <c r="AA181" s="28">
        <v>221</v>
      </c>
      <c r="AB181" s="28">
        <v>220</v>
      </c>
      <c r="AC181" s="28">
        <v>221</v>
      </c>
      <c r="AD181" s="28">
        <v>216</v>
      </c>
      <c r="AE181" s="28">
        <v>223</v>
      </c>
      <c r="AF181" s="28">
        <v>225</v>
      </c>
      <c r="AG181" s="28">
        <v>222</v>
      </c>
      <c r="AH181" s="28">
        <v>224</v>
      </c>
      <c r="AI181" s="28">
        <v>223</v>
      </c>
      <c r="AJ181" s="28">
        <v>223</v>
      </c>
      <c r="AK181" s="28">
        <v>222</v>
      </c>
      <c r="AL181" s="28">
        <v>222</v>
      </c>
      <c r="AM181" s="28">
        <v>222</v>
      </c>
      <c r="AN181" s="28">
        <v>222</v>
      </c>
      <c r="AO181" s="28">
        <v>220</v>
      </c>
      <c r="AP181" s="28">
        <v>221</v>
      </c>
      <c r="AQ181" s="28">
        <v>223</v>
      </c>
      <c r="AR181" s="28">
        <v>222</v>
      </c>
      <c r="AS181" s="28">
        <v>222</v>
      </c>
      <c r="AT181" s="28">
        <v>217</v>
      </c>
      <c r="AU181" s="28">
        <v>224</v>
      </c>
      <c r="AV181" s="28">
        <v>219</v>
      </c>
      <c r="AW181" s="28">
        <v>219</v>
      </c>
      <c r="AX181" s="28">
        <v>222</v>
      </c>
      <c r="AY181" s="28">
        <v>222</v>
      </c>
      <c r="AZ181" s="28">
        <v>223</v>
      </c>
      <c r="BA181" s="28">
        <v>224</v>
      </c>
      <c r="BB181" s="28">
        <v>227</v>
      </c>
      <c r="BC181" s="28">
        <v>223</v>
      </c>
      <c r="BD181" s="28">
        <v>223</v>
      </c>
      <c r="BE181" s="28">
        <v>221</v>
      </c>
      <c r="BF181" s="28">
        <v>226</v>
      </c>
      <c r="BG181" s="28">
        <v>216</v>
      </c>
      <c r="BH181" s="28">
        <v>221</v>
      </c>
      <c r="BI181" s="28">
        <v>224</v>
      </c>
      <c r="BJ181" s="28">
        <v>225</v>
      </c>
      <c r="BK181" s="28">
        <v>224</v>
      </c>
      <c r="BL181" s="28">
        <v>224</v>
      </c>
      <c r="BM181" s="28">
        <v>222</v>
      </c>
      <c r="BN181" s="28">
        <v>222</v>
      </c>
      <c r="BO181" s="28">
        <v>220</v>
      </c>
      <c r="BP181" s="28">
        <v>222</v>
      </c>
      <c r="BQ181" s="28">
        <v>222</v>
      </c>
      <c r="BR181" s="28">
        <v>222</v>
      </c>
      <c r="BS181" s="28">
        <v>223</v>
      </c>
      <c r="BT181" s="28">
        <v>219</v>
      </c>
      <c r="BU181" s="28">
        <v>225</v>
      </c>
      <c r="BV181" s="28">
        <v>224</v>
      </c>
      <c r="BW181" s="28">
        <v>223</v>
      </c>
      <c r="BX181" s="28">
        <v>224</v>
      </c>
      <c r="BY181" s="28">
        <v>224</v>
      </c>
      <c r="BZ181" s="28">
        <v>221</v>
      </c>
      <c r="CA181" s="28">
        <v>217</v>
      </c>
      <c r="CB181" s="28">
        <v>221</v>
      </c>
      <c r="CC181" s="28">
        <v>221</v>
      </c>
    </row>
    <row r="182" spans="1:81" x14ac:dyDescent="0.25">
      <c r="A182" s="13" t="s">
        <v>323</v>
      </c>
      <c r="B182" s="14">
        <v>1</v>
      </c>
      <c r="C182" s="13" t="s">
        <v>324</v>
      </c>
      <c r="D182" s="15">
        <v>12674</v>
      </c>
      <c r="E182" s="16">
        <v>59.996716999999997</v>
      </c>
      <c r="F182" s="17">
        <v>0</v>
      </c>
      <c r="G182" s="13" t="s">
        <v>252</v>
      </c>
      <c r="H182" s="18">
        <v>211.2448919496712</v>
      </c>
      <c r="I182" s="16">
        <v>217.60181044706289</v>
      </c>
      <c r="J182" s="16">
        <v>159.68561096912401</v>
      </c>
      <c r="K182" s="16">
        <v>134.9311848258742</v>
      </c>
      <c r="L182" s="16">
        <v>136.34448464944001</v>
      </c>
      <c r="M182" s="16">
        <v>65.71111749969198</v>
      </c>
      <c r="N182" s="16">
        <v>36.185865077383468</v>
      </c>
      <c r="O182" s="16">
        <v>356.77334189589351</v>
      </c>
      <c r="P182" s="19">
        <v>4.7338422755246956</v>
      </c>
      <c r="Q182" s="19">
        <v>0.51693332445525131</v>
      </c>
      <c r="R182" s="16">
        <v>10.91995242697339</v>
      </c>
      <c r="S182" s="16">
        <v>3.1563165785528292E-2</v>
      </c>
      <c r="T182" s="16">
        <v>5.5231181947293671E-2</v>
      </c>
      <c r="U182" s="14"/>
      <c r="V182" s="20">
        <v>213</v>
      </c>
      <c r="W182" s="20">
        <v>208</v>
      </c>
      <c r="X182" s="20">
        <v>212</v>
      </c>
      <c r="Y182" s="20">
        <v>213</v>
      </c>
      <c r="Z182" s="20">
        <v>210</v>
      </c>
      <c r="AA182" s="20">
        <v>209</v>
      </c>
      <c r="AB182" s="20">
        <v>211</v>
      </c>
      <c r="AC182" s="20">
        <v>206</v>
      </c>
      <c r="AD182" s="20">
        <v>211</v>
      </c>
      <c r="AE182" s="20">
        <v>218</v>
      </c>
      <c r="AF182" s="20">
        <v>214</v>
      </c>
      <c r="AG182" s="20">
        <v>209</v>
      </c>
      <c r="AH182" s="20">
        <v>208</v>
      </c>
      <c r="AI182" s="20">
        <v>209</v>
      </c>
      <c r="AJ182" s="20">
        <v>209</v>
      </c>
      <c r="AK182" s="20">
        <v>206</v>
      </c>
      <c r="AL182" s="20">
        <v>209</v>
      </c>
      <c r="AM182" s="20">
        <v>208</v>
      </c>
      <c r="AN182" s="20">
        <v>210</v>
      </c>
      <c r="AO182" s="20">
        <v>207</v>
      </c>
      <c r="AP182" s="20">
        <v>207</v>
      </c>
      <c r="AQ182" s="20">
        <v>205</v>
      </c>
      <c r="AR182" s="20">
        <v>204</v>
      </c>
      <c r="AS182" s="20">
        <v>208</v>
      </c>
      <c r="AT182" s="20">
        <v>211</v>
      </c>
      <c r="AU182" s="20">
        <v>213</v>
      </c>
      <c r="AV182" s="20">
        <v>214</v>
      </c>
      <c r="AW182" s="20">
        <v>215</v>
      </c>
      <c r="AX182" s="20">
        <v>212</v>
      </c>
      <c r="AY182" s="20">
        <v>214</v>
      </c>
      <c r="AZ182" s="20">
        <v>215</v>
      </c>
      <c r="BA182" s="20">
        <v>212</v>
      </c>
      <c r="BB182" s="20">
        <v>214</v>
      </c>
      <c r="BC182" s="20">
        <v>213</v>
      </c>
      <c r="BD182" s="20">
        <v>215</v>
      </c>
      <c r="BE182" s="20">
        <v>211</v>
      </c>
      <c r="BF182" s="20">
        <v>214</v>
      </c>
      <c r="BG182" s="20">
        <v>213</v>
      </c>
      <c r="BH182" s="20">
        <v>216</v>
      </c>
      <c r="BI182" s="20">
        <v>215</v>
      </c>
      <c r="BJ182" s="20">
        <v>211</v>
      </c>
      <c r="BK182" s="20">
        <v>209</v>
      </c>
      <c r="BL182" s="20">
        <v>214</v>
      </c>
      <c r="BM182" s="20">
        <v>214</v>
      </c>
      <c r="BN182" s="20">
        <v>213</v>
      </c>
      <c r="BO182" s="20">
        <v>216</v>
      </c>
      <c r="BP182" s="20">
        <v>212</v>
      </c>
      <c r="BQ182" s="20">
        <v>213</v>
      </c>
      <c r="BR182" s="20">
        <v>215</v>
      </c>
      <c r="BS182" s="20">
        <v>212</v>
      </c>
      <c r="BT182" s="20">
        <v>213</v>
      </c>
      <c r="BU182" s="20">
        <v>209</v>
      </c>
      <c r="BV182" s="20">
        <v>211</v>
      </c>
      <c r="BW182" s="20">
        <v>207</v>
      </c>
      <c r="BX182" s="20">
        <v>206</v>
      </c>
      <c r="BY182" s="20">
        <v>213</v>
      </c>
      <c r="BZ182" s="20">
        <v>213</v>
      </c>
      <c r="CA182" s="20">
        <v>211</v>
      </c>
      <c r="CB182" s="20">
        <v>211</v>
      </c>
      <c r="CC182" s="20">
        <v>210</v>
      </c>
    </row>
    <row r="183" spans="1:81" x14ac:dyDescent="0.25">
      <c r="A183" s="13" t="s">
        <v>323</v>
      </c>
      <c r="B183" s="14">
        <v>2</v>
      </c>
      <c r="C183" s="13" t="s">
        <v>324</v>
      </c>
      <c r="D183" s="15">
        <v>12414</v>
      </c>
      <c r="E183" s="16">
        <v>60.003092899999999</v>
      </c>
      <c r="F183" s="17">
        <v>0</v>
      </c>
      <c r="G183" s="13" t="s">
        <v>252</v>
      </c>
      <c r="H183" s="18">
        <v>206.88933519958599</v>
      </c>
      <c r="I183" s="16">
        <v>213.06061574517949</v>
      </c>
      <c r="J183" s="16">
        <v>152.37642462433519</v>
      </c>
      <c r="K183" s="16">
        <v>128.22809582983089</v>
      </c>
      <c r="L183" s="16">
        <v>129.47768701059931</v>
      </c>
      <c r="M183" s="16">
        <v>62.416323116821502</v>
      </c>
      <c r="N183" s="16">
        <v>33.000577510106432</v>
      </c>
      <c r="O183" s="16">
        <v>374.95313085864268</v>
      </c>
      <c r="P183" s="19">
        <v>4.8335019252456899</v>
      </c>
      <c r="Q183" s="19">
        <v>0.56732912427910476</v>
      </c>
      <c r="R183" s="16">
        <v>11.737434536146729</v>
      </c>
      <c r="S183" s="16">
        <v>3.2224280995730277E-2</v>
      </c>
      <c r="T183" s="16">
        <v>6.4443370388271304E-2</v>
      </c>
      <c r="U183" s="14"/>
      <c r="V183" s="20">
        <v>212</v>
      </c>
      <c r="W183" s="20">
        <v>211</v>
      </c>
      <c r="X183" s="20">
        <v>208</v>
      </c>
      <c r="Y183" s="20">
        <v>209</v>
      </c>
      <c r="Z183" s="20">
        <v>210</v>
      </c>
      <c r="AA183" s="20">
        <v>210</v>
      </c>
      <c r="AB183" s="20">
        <v>210</v>
      </c>
      <c r="AC183" s="20">
        <v>211</v>
      </c>
      <c r="AD183" s="20">
        <v>213</v>
      </c>
      <c r="AE183" s="20">
        <v>210</v>
      </c>
      <c r="AF183" s="20">
        <v>209</v>
      </c>
      <c r="AG183" s="20">
        <v>212</v>
      </c>
      <c r="AH183" s="20">
        <v>212</v>
      </c>
      <c r="AI183" s="20">
        <v>212</v>
      </c>
      <c r="AJ183" s="20">
        <v>216</v>
      </c>
      <c r="AK183" s="20">
        <v>209</v>
      </c>
      <c r="AL183" s="20">
        <v>207</v>
      </c>
      <c r="AM183" s="20">
        <v>210</v>
      </c>
      <c r="AN183" s="20">
        <v>213</v>
      </c>
      <c r="AO183" s="20">
        <v>212</v>
      </c>
      <c r="AP183" s="20">
        <v>210</v>
      </c>
      <c r="AQ183" s="20">
        <v>211</v>
      </c>
      <c r="AR183" s="20">
        <v>211</v>
      </c>
      <c r="AS183" s="20">
        <v>212</v>
      </c>
      <c r="AT183" s="20">
        <v>209</v>
      </c>
      <c r="AU183" s="20">
        <v>211</v>
      </c>
      <c r="AV183" s="20">
        <v>209</v>
      </c>
      <c r="AW183" s="20">
        <v>212</v>
      </c>
      <c r="AX183" s="20">
        <v>211</v>
      </c>
      <c r="AY183" s="20">
        <v>212</v>
      </c>
      <c r="AZ183" s="20">
        <v>207</v>
      </c>
      <c r="BA183" s="20">
        <v>211</v>
      </c>
      <c r="BB183" s="20">
        <v>212</v>
      </c>
      <c r="BC183" s="20">
        <v>210</v>
      </c>
      <c r="BD183" s="20">
        <v>211</v>
      </c>
      <c r="BE183" s="20">
        <v>209</v>
      </c>
      <c r="BF183" s="20">
        <v>209</v>
      </c>
      <c r="BG183" s="20">
        <v>204</v>
      </c>
      <c r="BH183" s="20">
        <v>201</v>
      </c>
      <c r="BI183" s="20">
        <v>201</v>
      </c>
      <c r="BJ183" s="20">
        <v>199</v>
      </c>
      <c r="BK183" s="20">
        <v>192</v>
      </c>
      <c r="BL183" s="20">
        <v>179</v>
      </c>
      <c r="BM183" s="20">
        <v>185</v>
      </c>
      <c r="BN183" s="20">
        <v>179</v>
      </c>
      <c r="BO183" s="20">
        <v>188</v>
      </c>
      <c r="BP183" s="20">
        <v>191</v>
      </c>
      <c r="BQ183" s="20">
        <v>190</v>
      </c>
      <c r="BR183" s="20">
        <v>211</v>
      </c>
      <c r="BS183" s="20">
        <v>209</v>
      </c>
      <c r="BT183" s="20">
        <v>214</v>
      </c>
      <c r="BU183" s="20">
        <v>201</v>
      </c>
      <c r="BV183" s="20">
        <v>210</v>
      </c>
      <c r="BW183" s="20">
        <v>210</v>
      </c>
      <c r="BX183" s="20">
        <v>211</v>
      </c>
      <c r="BY183" s="20">
        <v>205</v>
      </c>
      <c r="BZ183" s="20">
        <v>209</v>
      </c>
      <c r="CA183" s="20">
        <v>213</v>
      </c>
      <c r="CB183" s="20">
        <v>209</v>
      </c>
      <c r="CC183" s="20">
        <v>210</v>
      </c>
    </row>
    <row r="184" spans="1:81" x14ac:dyDescent="0.25">
      <c r="A184" s="13" t="s">
        <v>323</v>
      </c>
      <c r="B184" s="14">
        <v>3</v>
      </c>
      <c r="C184" s="13" t="s">
        <v>324</v>
      </c>
      <c r="D184" s="15">
        <v>12577</v>
      </c>
      <c r="E184" s="16">
        <v>60.004044999999998</v>
      </c>
      <c r="F184" s="17">
        <v>0</v>
      </c>
      <c r="G184" s="13" t="s">
        <v>252</v>
      </c>
      <c r="H184" s="18">
        <v>209.6025359623672</v>
      </c>
      <c r="I184" s="16">
        <v>215.94540900060471</v>
      </c>
      <c r="J184" s="16">
        <v>159.17047986079589</v>
      </c>
      <c r="K184" s="16">
        <v>71.582645915639787</v>
      </c>
      <c r="L184" s="16">
        <v>78.044931297213012</v>
      </c>
      <c r="M184" s="16">
        <v>26.36414686938938</v>
      </c>
      <c r="N184" s="16">
        <v>20.362078479522879</v>
      </c>
      <c r="O184" s="16">
        <v>317.16832122807568</v>
      </c>
      <c r="P184" s="19">
        <v>4.7709346426015751</v>
      </c>
      <c r="Q184" s="19">
        <v>0.75980384822950753</v>
      </c>
      <c r="R184" s="16">
        <v>15.92568134228703</v>
      </c>
      <c r="S184" s="16">
        <v>0.2862595419847328</v>
      </c>
      <c r="T184" s="16">
        <v>0.42935517213961988</v>
      </c>
      <c r="U184" s="14"/>
      <c r="V184" s="20">
        <v>204</v>
      </c>
      <c r="W184" s="20">
        <v>202</v>
      </c>
      <c r="X184" s="20">
        <v>208</v>
      </c>
      <c r="Y184" s="20">
        <v>206</v>
      </c>
      <c r="Z184" s="20">
        <v>205</v>
      </c>
      <c r="AA184" s="20">
        <v>205</v>
      </c>
      <c r="AB184" s="20">
        <v>208</v>
      </c>
      <c r="AC184" s="20">
        <v>210</v>
      </c>
      <c r="AD184" s="20">
        <v>212</v>
      </c>
      <c r="AE184" s="20">
        <v>212</v>
      </c>
      <c r="AF184" s="20">
        <v>215</v>
      </c>
      <c r="AG184" s="20">
        <v>211</v>
      </c>
      <c r="AH184" s="20">
        <v>218</v>
      </c>
      <c r="AI184" s="20">
        <v>215</v>
      </c>
      <c r="AJ184" s="20">
        <v>215</v>
      </c>
      <c r="AK184" s="20">
        <v>217</v>
      </c>
      <c r="AL184" s="20">
        <v>213</v>
      </c>
      <c r="AM184" s="20">
        <v>216</v>
      </c>
      <c r="AN184" s="20">
        <v>214</v>
      </c>
      <c r="AO184" s="20">
        <v>212</v>
      </c>
      <c r="AP184" s="20">
        <v>213</v>
      </c>
      <c r="AQ184" s="20">
        <v>212</v>
      </c>
      <c r="AR184" s="20">
        <v>213</v>
      </c>
      <c r="AS184" s="20">
        <v>215</v>
      </c>
      <c r="AT184" s="20">
        <v>216</v>
      </c>
      <c r="AU184" s="20">
        <v>214</v>
      </c>
      <c r="AV184" s="20">
        <v>212</v>
      </c>
      <c r="AW184" s="20">
        <v>211</v>
      </c>
      <c r="AX184" s="20">
        <v>212</v>
      </c>
      <c r="AY184" s="20">
        <v>216</v>
      </c>
      <c r="AZ184" s="20">
        <v>213</v>
      </c>
      <c r="BA184" s="20">
        <v>212</v>
      </c>
      <c r="BB184" s="20">
        <v>205</v>
      </c>
      <c r="BC184" s="20">
        <v>217</v>
      </c>
      <c r="BD184" s="20">
        <v>214</v>
      </c>
      <c r="BE184" s="20">
        <v>214</v>
      </c>
      <c r="BF184" s="20">
        <v>210</v>
      </c>
      <c r="BG184" s="20">
        <v>203</v>
      </c>
      <c r="BH184" s="20">
        <v>205</v>
      </c>
      <c r="BI184" s="20">
        <v>205</v>
      </c>
      <c r="BJ184" s="20">
        <v>205</v>
      </c>
      <c r="BK184" s="20">
        <v>194</v>
      </c>
      <c r="BL184" s="20">
        <v>202</v>
      </c>
      <c r="BM184" s="20">
        <v>203</v>
      </c>
      <c r="BN184" s="20">
        <v>207</v>
      </c>
      <c r="BO184" s="20">
        <v>202</v>
      </c>
      <c r="BP184" s="20">
        <v>201</v>
      </c>
      <c r="BQ184" s="20">
        <v>199</v>
      </c>
      <c r="BR184" s="20">
        <v>205</v>
      </c>
      <c r="BS184" s="20">
        <v>200</v>
      </c>
      <c r="BT184" s="20">
        <v>202</v>
      </c>
      <c r="BU184" s="20">
        <v>202</v>
      </c>
      <c r="BV184" s="20">
        <v>216</v>
      </c>
      <c r="BW184" s="20">
        <v>212</v>
      </c>
      <c r="BX184" s="20">
        <v>215</v>
      </c>
      <c r="BY184" s="20">
        <v>215</v>
      </c>
      <c r="BZ184" s="20">
        <v>217</v>
      </c>
      <c r="CA184" s="20">
        <v>210</v>
      </c>
      <c r="CB184" s="20">
        <v>209</v>
      </c>
      <c r="CC184" s="20">
        <v>210</v>
      </c>
    </row>
    <row r="185" spans="1:81" x14ac:dyDescent="0.25">
      <c r="A185" s="13" t="s">
        <v>323</v>
      </c>
      <c r="B185" s="14">
        <v>4</v>
      </c>
      <c r="C185" s="13" t="s">
        <v>324</v>
      </c>
      <c r="D185" s="15">
        <v>12871</v>
      </c>
      <c r="E185" s="16">
        <v>59.981088700000001</v>
      </c>
      <c r="F185" s="17">
        <v>0</v>
      </c>
      <c r="G185" s="13" t="s">
        <v>252</v>
      </c>
      <c r="H185" s="18">
        <v>214.58430113490081</v>
      </c>
      <c r="I185" s="16">
        <v>220.21096210169341</v>
      </c>
      <c r="J185" s="16">
        <v>169.1240389526487</v>
      </c>
      <c r="K185" s="16">
        <v>147.5602027182054</v>
      </c>
      <c r="L185" s="16">
        <v>144.46243121637201</v>
      </c>
      <c r="M185" s="16">
        <v>49.109963756846753</v>
      </c>
      <c r="N185" s="16">
        <v>31.008617294746209</v>
      </c>
      <c r="O185" s="16">
        <v>438.46187573990437</v>
      </c>
      <c r="P185" s="19">
        <v>4.6601731567088809</v>
      </c>
      <c r="Q185" s="19">
        <v>0.49263601807129143</v>
      </c>
      <c r="R185" s="16">
        <v>10.57119556517085</v>
      </c>
      <c r="S185" s="16">
        <v>4.6620046620046617E-2</v>
      </c>
      <c r="T185" s="16">
        <v>4.66164245202393E-2</v>
      </c>
      <c r="U185" s="14"/>
      <c r="V185" s="20">
        <v>217</v>
      </c>
      <c r="W185" s="20">
        <v>215</v>
      </c>
      <c r="X185" s="20">
        <v>215</v>
      </c>
      <c r="Y185" s="20">
        <v>213</v>
      </c>
      <c r="Z185" s="20">
        <v>215</v>
      </c>
      <c r="AA185" s="20">
        <v>214</v>
      </c>
      <c r="AB185" s="20">
        <v>216</v>
      </c>
      <c r="AC185" s="20">
        <v>215</v>
      </c>
      <c r="AD185" s="20">
        <v>218</v>
      </c>
      <c r="AE185" s="20">
        <v>215</v>
      </c>
      <c r="AF185" s="20">
        <v>217</v>
      </c>
      <c r="AG185" s="20">
        <v>216</v>
      </c>
      <c r="AH185" s="20">
        <v>216</v>
      </c>
      <c r="AI185" s="20">
        <v>216</v>
      </c>
      <c r="AJ185" s="20">
        <v>216</v>
      </c>
      <c r="AK185" s="20">
        <v>214</v>
      </c>
      <c r="AL185" s="20">
        <v>210</v>
      </c>
      <c r="AM185" s="20">
        <v>213</v>
      </c>
      <c r="AN185" s="20">
        <v>212</v>
      </c>
      <c r="AO185" s="20">
        <v>214</v>
      </c>
      <c r="AP185" s="20">
        <v>215</v>
      </c>
      <c r="AQ185" s="20">
        <v>216</v>
      </c>
      <c r="AR185" s="20">
        <v>216</v>
      </c>
      <c r="AS185" s="20">
        <v>216</v>
      </c>
      <c r="AT185" s="20">
        <v>210</v>
      </c>
      <c r="AU185" s="20">
        <v>212</v>
      </c>
      <c r="AV185" s="20">
        <v>214</v>
      </c>
      <c r="AW185" s="20">
        <v>206</v>
      </c>
      <c r="AX185" s="20">
        <v>217</v>
      </c>
      <c r="AY185" s="20">
        <v>216</v>
      </c>
      <c r="AZ185" s="20">
        <v>213</v>
      </c>
      <c r="BA185" s="20">
        <v>214</v>
      </c>
      <c r="BB185" s="20">
        <v>213</v>
      </c>
      <c r="BC185" s="20">
        <v>215</v>
      </c>
      <c r="BD185" s="20">
        <v>216</v>
      </c>
      <c r="BE185" s="20">
        <v>216</v>
      </c>
      <c r="BF185" s="20">
        <v>214</v>
      </c>
      <c r="BG185" s="20">
        <v>213</v>
      </c>
      <c r="BH185" s="20">
        <v>214</v>
      </c>
      <c r="BI185" s="20">
        <v>217</v>
      </c>
      <c r="BJ185" s="20">
        <v>216</v>
      </c>
      <c r="BK185" s="20">
        <v>215</v>
      </c>
      <c r="BL185" s="20">
        <v>217</v>
      </c>
      <c r="BM185" s="20">
        <v>214</v>
      </c>
      <c r="BN185" s="20">
        <v>216</v>
      </c>
      <c r="BO185" s="20">
        <v>215</v>
      </c>
      <c r="BP185" s="20">
        <v>211</v>
      </c>
      <c r="BQ185" s="20">
        <v>213</v>
      </c>
      <c r="BR185" s="20">
        <v>216</v>
      </c>
      <c r="BS185" s="20">
        <v>217</v>
      </c>
      <c r="BT185" s="20">
        <v>216</v>
      </c>
      <c r="BU185" s="20">
        <v>215</v>
      </c>
      <c r="BV185" s="20">
        <v>215</v>
      </c>
      <c r="BW185" s="20">
        <v>215</v>
      </c>
      <c r="BX185" s="20">
        <v>218</v>
      </c>
      <c r="BY185" s="20">
        <v>213</v>
      </c>
      <c r="BZ185" s="20">
        <v>212</v>
      </c>
      <c r="CA185" s="20">
        <v>214</v>
      </c>
      <c r="CB185" s="20">
        <v>215</v>
      </c>
      <c r="CC185" s="20">
        <v>208</v>
      </c>
    </row>
    <row r="186" spans="1:81" x14ac:dyDescent="0.25">
      <c r="A186" s="13" t="s">
        <v>323</v>
      </c>
      <c r="B186" s="14">
        <v>5</v>
      </c>
      <c r="C186" s="13" t="s">
        <v>324</v>
      </c>
      <c r="D186" s="15">
        <v>12401</v>
      </c>
      <c r="E186" s="16">
        <v>60.006218699999998</v>
      </c>
      <c r="F186" s="17">
        <v>0</v>
      </c>
      <c r="G186" s="13" t="s">
        <v>252</v>
      </c>
      <c r="H186" s="18">
        <v>206.66191385927141</v>
      </c>
      <c r="I186" s="16">
        <v>215.88480386865569</v>
      </c>
      <c r="J186" s="16">
        <v>160.44153510460791</v>
      </c>
      <c r="K186" s="16">
        <v>69.434318606313653</v>
      </c>
      <c r="L186" s="16">
        <v>1.104651477487921</v>
      </c>
      <c r="M186" s="16">
        <v>1.104651477487921</v>
      </c>
      <c r="N186" s="16">
        <v>1.104651477487921</v>
      </c>
      <c r="O186" s="16">
        <v>446.86745911162751</v>
      </c>
      <c r="P186" s="19">
        <v>4.8388209579872594</v>
      </c>
      <c r="Q186" s="19">
        <v>8.1138630111176067</v>
      </c>
      <c r="R186" s="16">
        <v>167.6826458669515</v>
      </c>
      <c r="S186" s="16">
        <v>0.29838709677419362</v>
      </c>
      <c r="T186" s="16">
        <v>0.42738488831545851</v>
      </c>
      <c r="U186" s="14"/>
      <c r="V186" s="20">
        <v>212</v>
      </c>
      <c r="W186" s="20">
        <v>213</v>
      </c>
      <c r="X186" s="20">
        <v>213</v>
      </c>
      <c r="Y186" s="20">
        <v>214</v>
      </c>
      <c r="Z186" s="20">
        <v>215</v>
      </c>
      <c r="AA186" s="20">
        <v>210</v>
      </c>
      <c r="AB186" s="20">
        <v>84</v>
      </c>
      <c r="AC186" s="20">
        <v>139</v>
      </c>
      <c r="AD186" s="20">
        <v>206</v>
      </c>
      <c r="AE186" s="20">
        <v>204</v>
      </c>
      <c r="AF186" s="20">
        <v>204</v>
      </c>
      <c r="AG186" s="20">
        <v>204</v>
      </c>
      <c r="AH186" s="20">
        <v>198</v>
      </c>
      <c r="AI186" s="20">
        <v>198</v>
      </c>
      <c r="AJ186" s="20">
        <v>197</v>
      </c>
      <c r="AK186" s="20">
        <v>202</v>
      </c>
      <c r="AL186" s="20">
        <v>203</v>
      </c>
      <c r="AM186" s="20">
        <v>202</v>
      </c>
      <c r="AN186" s="20">
        <v>202</v>
      </c>
      <c r="AO186" s="20">
        <v>204</v>
      </c>
      <c r="AP186" s="20">
        <v>204</v>
      </c>
      <c r="AQ186" s="20">
        <v>210</v>
      </c>
      <c r="AR186" s="20">
        <v>213</v>
      </c>
      <c r="AS186" s="20">
        <v>217</v>
      </c>
      <c r="AT186" s="20">
        <v>216</v>
      </c>
      <c r="AU186" s="20">
        <v>215</v>
      </c>
      <c r="AV186" s="20">
        <v>213</v>
      </c>
      <c r="AW186" s="20">
        <v>213</v>
      </c>
      <c r="AX186" s="20">
        <v>210</v>
      </c>
      <c r="AY186" s="20">
        <v>210</v>
      </c>
      <c r="AZ186" s="20">
        <v>210</v>
      </c>
      <c r="BA186" s="20">
        <v>208</v>
      </c>
      <c r="BB186" s="20">
        <v>207</v>
      </c>
      <c r="BC186" s="20">
        <v>212</v>
      </c>
      <c r="BD186" s="20">
        <v>207</v>
      </c>
      <c r="BE186" s="20">
        <v>211</v>
      </c>
      <c r="BF186" s="20">
        <v>205</v>
      </c>
      <c r="BG186" s="20">
        <v>213</v>
      </c>
      <c r="BH186" s="20">
        <v>201</v>
      </c>
      <c r="BI186" s="20">
        <v>206</v>
      </c>
      <c r="BJ186" s="20">
        <v>203</v>
      </c>
      <c r="BK186" s="20">
        <v>203</v>
      </c>
      <c r="BL186" s="20">
        <v>209</v>
      </c>
      <c r="BM186" s="20">
        <v>215</v>
      </c>
      <c r="BN186" s="20">
        <v>217</v>
      </c>
      <c r="BO186" s="20">
        <v>215</v>
      </c>
      <c r="BP186" s="20">
        <v>215</v>
      </c>
      <c r="BQ186" s="20">
        <v>217</v>
      </c>
      <c r="BR186" s="20">
        <v>216</v>
      </c>
      <c r="BS186" s="20">
        <v>217</v>
      </c>
      <c r="BT186" s="20">
        <v>214</v>
      </c>
      <c r="BU186" s="20">
        <v>215</v>
      </c>
      <c r="BV186" s="20">
        <v>211</v>
      </c>
      <c r="BW186" s="20">
        <v>215</v>
      </c>
      <c r="BX186" s="20">
        <v>214</v>
      </c>
      <c r="BY186" s="20">
        <v>216</v>
      </c>
      <c r="BZ186" s="20">
        <v>214</v>
      </c>
      <c r="CA186" s="20">
        <v>215</v>
      </c>
      <c r="CB186" s="20">
        <v>217</v>
      </c>
      <c r="CC186" s="20">
        <v>217</v>
      </c>
    </row>
    <row r="187" spans="1:81" x14ac:dyDescent="0.25">
      <c r="A187" s="21" t="s">
        <v>325</v>
      </c>
      <c r="B187" s="22">
        <v>1</v>
      </c>
      <c r="C187" s="21" t="s">
        <v>326</v>
      </c>
      <c r="D187" s="23">
        <v>12461</v>
      </c>
      <c r="E187" s="24">
        <v>59.988855100000002</v>
      </c>
      <c r="F187" s="25">
        <v>0</v>
      </c>
      <c r="G187" s="21" t="s">
        <v>252</v>
      </c>
      <c r="H187" s="26">
        <v>207.7219173332748</v>
      </c>
      <c r="I187" s="24">
        <v>211.6715703913807</v>
      </c>
      <c r="J187" s="24">
        <v>165.14131142018229</v>
      </c>
      <c r="K187" s="24">
        <v>150.2318528184546</v>
      </c>
      <c r="L187" s="24">
        <v>148.28948907439701</v>
      </c>
      <c r="M187" s="24">
        <v>76.480665687714136</v>
      </c>
      <c r="N187" s="24">
        <v>37.786611447831802</v>
      </c>
      <c r="O187" s="24">
        <v>274.29574567298459</v>
      </c>
      <c r="P187" s="27">
        <v>4.8141284888853226</v>
      </c>
      <c r="Q187" s="27">
        <v>0.45254761799293458</v>
      </c>
      <c r="R187" s="24">
        <v>9.4004058894098783</v>
      </c>
      <c r="S187" s="24">
        <v>2.4077046548956659E-2</v>
      </c>
      <c r="T187" s="24">
        <v>2.407511435679319E-2</v>
      </c>
      <c r="U187" s="22"/>
      <c r="V187" s="28">
        <v>207</v>
      </c>
      <c r="W187" s="28">
        <v>206</v>
      </c>
      <c r="X187" s="28">
        <v>212</v>
      </c>
      <c r="Y187" s="28">
        <v>208</v>
      </c>
      <c r="Z187" s="28">
        <v>207</v>
      </c>
      <c r="AA187" s="28">
        <v>209</v>
      </c>
      <c r="AB187" s="28">
        <v>212</v>
      </c>
      <c r="AC187" s="28">
        <v>209</v>
      </c>
      <c r="AD187" s="28">
        <v>212</v>
      </c>
      <c r="AE187" s="28">
        <v>211</v>
      </c>
      <c r="AF187" s="28">
        <v>209</v>
      </c>
      <c r="AG187" s="28">
        <v>207</v>
      </c>
      <c r="AH187" s="28">
        <v>201</v>
      </c>
      <c r="AI187" s="28">
        <v>200</v>
      </c>
      <c r="AJ187" s="28">
        <v>204</v>
      </c>
      <c r="AK187" s="28">
        <v>208</v>
      </c>
      <c r="AL187" s="28">
        <v>207</v>
      </c>
      <c r="AM187" s="28">
        <v>210</v>
      </c>
      <c r="AN187" s="28">
        <v>209</v>
      </c>
      <c r="AO187" s="28">
        <v>209</v>
      </c>
      <c r="AP187" s="28">
        <v>209</v>
      </c>
      <c r="AQ187" s="28">
        <v>200</v>
      </c>
      <c r="AR187" s="28">
        <v>212</v>
      </c>
      <c r="AS187" s="28">
        <v>209</v>
      </c>
      <c r="AT187" s="28">
        <v>209</v>
      </c>
      <c r="AU187" s="28">
        <v>209</v>
      </c>
      <c r="AV187" s="28">
        <v>210</v>
      </c>
      <c r="AW187" s="28">
        <v>209</v>
      </c>
      <c r="AX187" s="28">
        <v>211</v>
      </c>
      <c r="AY187" s="28">
        <v>210</v>
      </c>
      <c r="AZ187" s="28">
        <v>210</v>
      </c>
      <c r="BA187" s="28">
        <v>204</v>
      </c>
      <c r="BB187" s="28">
        <v>208</v>
      </c>
      <c r="BC187" s="28">
        <v>207</v>
      </c>
      <c r="BD187" s="28">
        <v>209</v>
      </c>
      <c r="BE187" s="28">
        <v>204</v>
      </c>
      <c r="BF187" s="28">
        <v>207</v>
      </c>
      <c r="BG187" s="28">
        <v>201</v>
      </c>
      <c r="BH187" s="28">
        <v>203</v>
      </c>
      <c r="BI187" s="28">
        <v>204</v>
      </c>
      <c r="BJ187" s="28">
        <v>203</v>
      </c>
      <c r="BK187" s="28">
        <v>200</v>
      </c>
      <c r="BL187" s="28">
        <v>205</v>
      </c>
      <c r="BM187" s="28">
        <v>208</v>
      </c>
      <c r="BN187" s="28">
        <v>206</v>
      </c>
      <c r="BO187" s="28">
        <v>208</v>
      </c>
      <c r="BP187" s="28">
        <v>209</v>
      </c>
      <c r="BQ187" s="28">
        <v>209</v>
      </c>
      <c r="BR187" s="28">
        <v>208</v>
      </c>
      <c r="BS187" s="28">
        <v>211</v>
      </c>
      <c r="BT187" s="28">
        <v>211</v>
      </c>
      <c r="BU187" s="28">
        <v>207</v>
      </c>
      <c r="BV187" s="28">
        <v>208</v>
      </c>
      <c r="BW187" s="28">
        <v>211</v>
      </c>
      <c r="BX187" s="28">
        <v>207</v>
      </c>
      <c r="BY187" s="28">
        <v>211</v>
      </c>
      <c r="BZ187" s="28">
        <v>211</v>
      </c>
      <c r="CA187" s="28">
        <v>210</v>
      </c>
      <c r="CB187" s="28">
        <v>209</v>
      </c>
      <c r="CC187" s="28">
        <v>207</v>
      </c>
    </row>
    <row r="188" spans="1:81" x14ac:dyDescent="0.25">
      <c r="A188" s="21" t="s">
        <v>325</v>
      </c>
      <c r="B188" s="22">
        <v>2</v>
      </c>
      <c r="C188" s="21" t="s">
        <v>326</v>
      </c>
      <c r="D188" s="23">
        <v>12541</v>
      </c>
      <c r="E188" s="24">
        <v>59.9788383</v>
      </c>
      <c r="F188" s="25">
        <v>0</v>
      </c>
      <c r="G188" s="21" t="s">
        <v>252</v>
      </c>
      <c r="H188" s="26">
        <v>209.09041180945979</v>
      </c>
      <c r="I188" s="24">
        <v>212.83841307679211</v>
      </c>
      <c r="J188" s="24">
        <v>167.24141967896341</v>
      </c>
      <c r="K188" s="24">
        <v>152.1929636322738</v>
      </c>
      <c r="L188" s="24">
        <v>151.00671697790091</v>
      </c>
      <c r="M188" s="24">
        <v>78.52843985977961</v>
      </c>
      <c r="N188" s="24">
        <v>33.778534416948723</v>
      </c>
      <c r="O188" s="24">
        <v>338.32932976959768</v>
      </c>
      <c r="P188" s="27">
        <v>4.7826200701698429</v>
      </c>
      <c r="Q188" s="27">
        <v>0.44929361336727969</v>
      </c>
      <c r="R188" s="24">
        <v>9.3942986642324744</v>
      </c>
      <c r="S188" s="24">
        <v>2.3923444976076551E-2</v>
      </c>
      <c r="T188" s="24">
        <v>2.392153735746751E-2</v>
      </c>
      <c r="U188" s="22"/>
      <c r="V188" s="28">
        <v>209</v>
      </c>
      <c r="W188" s="28">
        <v>211</v>
      </c>
      <c r="X188" s="28">
        <v>207</v>
      </c>
      <c r="Y188" s="28">
        <v>211</v>
      </c>
      <c r="Z188" s="28">
        <v>211</v>
      </c>
      <c r="AA188" s="28">
        <v>208</v>
      </c>
      <c r="AB188" s="28">
        <v>206</v>
      </c>
      <c r="AC188" s="28">
        <v>205</v>
      </c>
      <c r="AD188" s="28">
        <v>209</v>
      </c>
      <c r="AE188" s="28">
        <v>209</v>
      </c>
      <c r="AF188" s="28">
        <v>209</v>
      </c>
      <c r="AG188" s="28">
        <v>207</v>
      </c>
      <c r="AH188" s="28">
        <v>210</v>
      </c>
      <c r="AI188" s="28">
        <v>211</v>
      </c>
      <c r="AJ188" s="28">
        <v>210</v>
      </c>
      <c r="AK188" s="28">
        <v>209</v>
      </c>
      <c r="AL188" s="28">
        <v>207</v>
      </c>
      <c r="AM188" s="28">
        <v>210</v>
      </c>
      <c r="AN188" s="28">
        <v>208</v>
      </c>
      <c r="AO188" s="28">
        <v>210</v>
      </c>
      <c r="AP188" s="28">
        <v>210</v>
      </c>
      <c r="AQ188" s="28">
        <v>209</v>
      </c>
      <c r="AR188" s="28">
        <v>210</v>
      </c>
      <c r="AS188" s="28">
        <v>209</v>
      </c>
      <c r="AT188" s="28">
        <v>207</v>
      </c>
      <c r="AU188" s="28">
        <v>210</v>
      </c>
      <c r="AV188" s="28">
        <v>205</v>
      </c>
      <c r="AW188" s="28">
        <v>210</v>
      </c>
      <c r="AX188" s="28">
        <v>210</v>
      </c>
      <c r="AY188" s="28">
        <v>208</v>
      </c>
      <c r="AZ188" s="28">
        <v>207</v>
      </c>
      <c r="BA188" s="28">
        <v>211</v>
      </c>
      <c r="BB188" s="28">
        <v>210</v>
      </c>
      <c r="BC188" s="28">
        <v>210</v>
      </c>
      <c r="BD188" s="28">
        <v>207</v>
      </c>
      <c r="BE188" s="28">
        <v>209</v>
      </c>
      <c r="BF188" s="28">
        <v>203</v>
      </c>
      <c r="BG188" s="28">
        <v>210</v>
      </c>
      <c r="BH188" s="28">
        <v>211</v>
      </c>
      <c r="BI188" s="28">
        <v>212</v>
      </c>
      <c r="BJ188" s="28">
        <v>209</v>
      </c>
      <c r="BK188" s="28">
        <v>211</v>
      </c>
      <c r="BL188" s="28">
        <v>210</v>
      </c>
      <c r="BM188" s="28">
        <v>211</v>
      </c>
      <c r="BN188" s="28">
        <v>211</v>
      </c>
      <c r="BO188" s="28">
        <v>207</v>
      </c>
      <c r="BP188" s="28">
        <v>207</v>
      </c>
      <c r="BQ188" s="28">
        <v>210</v>
      </c>
      <c r="BR188" s="28">
        <v>211</v>
      </c>
      <c r="BS188" s="28">
        <v>211</v>
      </c>
      <c r="BT188" s="28">
        <v>208</v>
      </c>
      <c r="BU188" s="28">
        <v>209</v>
      </c>
      <c r="BV188" s="28">
        <v>209</v>
      </c>
      <c r="BW188" s="28">
        <v>210</v>
      </c>
      <c r="BX188" s="28">
        <v>211</v>
      </c>
      <c r="BY188" s="28">
        <v>211</v>
      </c>
      <c r="BZ188" s="28">
        <v>207</v>
      </c>
      <c r="CA188" s="28">
        <v>210</v>
      </c>
      <c r="CB188" s="28">
        <v>207</v>
      </c>
      <c r="CC188" s="28">
        <v>206</v>
      </c>
    </row>
    <row r="189" spans="1:81" x14ac:dyDescent="0.25">
      <c r="A189" s="21" t="s">
        <v>325</v>
      </c>
      <c r="B189" s="22">
        <v>3</v>
      </c>
      <c r="C189" s="21" t="s">
        <v>326</v>
      </c>
      <c r="D189" s="23">
        <v>12556</v>
      </c>
      <c r="E189" s="24">
        <v>59.994189300000002</v>
      </c>
      <c r="F189" s="25">
        <v>0</v>
      </c>
      <c r="G189" s="21" t="s">
        <v>252</v>
      </c>
      <c r="H189" s="26">
        <v>209.28693505989261</v>
      </c>
      <c r="I189" s="24">
        <v>213.14917244833799</v>
      </c>
      <c r="J189" s="24">
        <v>167.9492390219979</v>
      </c>
      <c r="K189" s="24">
        <v>152.6551151523328</v>
      </c>
      <c r="L189" s="24">
        <v>152.36808153679769</v>
      </c>
      <c r="M189" s="24">
        <v>79.203654773445876</v>
      </c>
      <c r="N189" s="24">
        <v>38.546340410441438</v>
      </c>
      <c r="O189" s="24">
        <v>352.92041644609139</v>
      </c>
      <c r="P189" s="27">
        <v>4.7781291255176814</v>
      </c>
      <c r="Q189" s="27">
        <v>0.43582524334492428</v>
      </c>
      <c r="R189" s="24">
        <v>9.1212529401391045</v>
      </c>
      <c r="S189" s="24">
        <v>1.5929908403026681E-2</v>
      </c>
      <c r="T189" s="24">
        <v>2.3892959541255181E-2</v>
      </c>
      <c r="U189" s="22"/>
      <c r="V189" s="28">
        <v>210</v>
      </c>
      <c r="W189" s="28">
        <v>211</v>
      </c>
      <c r="X189" s="28">
        <v>207</v>
      </c>
      <c r="Y189" s="28">
        <v>207</v>
      </c>
      <c r="Z189" s="28">
        <v>209</v>
      </c>
      <c r="AA189" s="28">
        <v>208</v>
      </c>
      <c r="AB189" s="28">
        <v>213</v>
      </c>
      <c r="AC189" s="28">
        <v>209</v>
      </c>
      <c r="AD189" s="28">
        <v>210</v>
      </c>
      <c r="AE189" s="28">
        <v>209</v>
      </c>
      <c r="AF189" s="28">
        <v>207</v>
      </c>
      <c r="AG189" s="28">
        <v>210</v>
      </c>
      <c r="AH189" s="28">
        <v>204</v>
      </c>
      <c r="AI189" s="28">
        <v>209</v>
      </c>
      <c r="AJ189" s="28">
        <v>209</v>
      </c>
      <c r="AK189" s="28">
        <v>212</v>
      </c>
      <c r="AL189" s="28">
        <v>208</v>
      </c>
      <c r="AM189" s="28">
        <v>209</v>
      </c>
      <c r="AN189" s="28">
        <v>209</v>
      </c>
      <c r="AO189" s="28">
        <v>211</v>
      </c>
      <c r="AP189" s="28">
        <v>212</v>
      </c>
      <c r="AQ189" s="28">
        <v>212</v>
      </c>
      <c r="AR189" s="28">
        <v>207</v>
      </c>
      <c r="AS189" s="28">
        <v>209</v>
      </c>
      <c r="AT189" s="28">
        <v>209</v>
      </c>
      <c r="AU189" s="28">
        <v>208</v>
      </c>
      <c r="AV189" s="28">
        <v>209</v>
      </c>
      <c r="AW189" s="28">
        <v>211</v>
      </c>
      <c r="AX189" s="28">
        <v>209</v>
      </c>
      <c r="AY189" s="28">
        <v>210</v>
      </c>
      <c r="AZ189" s="28">
        <v>212</v>
      </c>
      <c r="BA189" s="28">
        <v>209</v>
      </c>
      <c r="BB189" s="28">
        <v>206</v>
      </c>
      <c r="BC189" s="28">
        <v>209</v>
      </c>
      <c r="BD189" s="28">
        <v>211</v>
      </c>
      <c r="BE189" s="28">
        <v>210</v>
      </c>
      <c r="BF189" s="28">
        <v>210</v>
      </c>
      <c r="BG189" s="28">
        <v>208</v>
      </c>
      <c r="BH189" s="28">
        <v>210</v>
      </c>
      <c r="BI189" s="28">
        <v>211</v>
      </c>
      <c r="BJ189" s="28">
        <v>209</v>
      </c>
      <c r="BK189" s="28">
        <v>211</v>
      </c>
      <c r="BL189" s="28">
        <v>206</v>
      </c>
      <c r="BM189" s="28">
        <v>209</v>
      </c>
      <c r="BN189" s="28">
        <v>208</v>
      </c>
      <c r="BO189" s="28">
        <v>211</v>
      </c>
      <c r="BP189" s="28">
        <v>207</v>
      </c>
      <c r="BQ189" s="28">
        <v>209</v>
      </c>
      <c r="BR189" s="28">
        <v>211</v>
      </c>
      <c r="BS189" s="28">
        <v>209</v>
      </c>
      <c r="BT189" s="28">
        <v>211</v>
      </c>
      <c r="BU189" s="28">
        <v>211</v>
      </c>
      <c r="BV189" s="28">
        <v>207</v>
      </c>
      <c r="BW189" s="28">
        <v>210</v>
      </c>
      <c r="BX189" s="28">
        <v>209</v>
      </c>
      <c r="BY189" s="28">
        <v>206</v>
      </c>
      <c r="BZ189" s="28">
        <v>210</v>
      </c>
      <c r="CA189" s="28">
        <v>209</v>
      </c>
      <c r="CB189" s="28">
        <v>212</v>
      </c>
      <c r="CC189" s="28">
        <v>208</v>
      </c>
    </row>
    <row r="190" spans="1:81" x14ac:dyDescent="0.25">
      <c r="A190" s="21" t="s">
        <v>325</v>
      </c>
      <c r="B190" s="22">
        <v>4</v>
      </c>
      <c r="C190" s="21" t="s">
        <v>326</v>
      </c>
      <c r="D190" s="23">
        <v>12546</v>
      </c>
      <c r="E190" s="24">
        <v>59.998442400000002</v>
      </c>
      <c r="F190" s="25">
        <v>0</v>
      </c>
      <c r="G190" s="21" t="s">
        <v>252</v>
      </c>
      <c r="H190" s="26">
        <v>209.10542837692071</v>
      </c>
      <c r="I190" s="24">
        <v>212.82708863184109</v>
      </c>
      <c r="J190" s="24">
        <v>168.0758425431894</v>
      </c>
      <c r="K190" s="24">
        <v>149.65818818110361</v>
      </c>
      <c r="L190" s="24">
        <v>152.15393744620869</v>
      </c>
      <c r="M190" s="24">
        <v>89.842012820455224</v>
      </c>
      <c r="N190" s="24">
        <v>38.707479833403013</v>
      </c>
      <c r="O190" s="24">
        <v>421.24773579342008</v>
      </c>
      <c r="P190" s="27">
        <v>4.7822766140602582</v>
      </c>
      <c r="Q190" s="27">
        <v>0.43129827970582868</v>
      </c>
      <c r="R190" s="24">
        <v>9.0186811536116274</v>
      </c>
      <c r="S190" s="24">
        <v>2.3913909924272621E-2</v>
      </c>
      <c r="T190" s="24">
        <v>1.594133588394708E-2</v>
      </c>
      <c r="U190" s="22"/>
      <c r="V190" s="28">
        <v>211</v>
      </c>
      <c r="W190" s="28">
        <v>208</v>
      </c>
      <c r="X190" s="28">
        <v>207</v>
      </c>
      <c r="Y190" s="28">
        <v>211</v>
      </c>
      <c r="Z190" s="28">
        <v>209</v>
      </c>
      <c r="AA190" s="28">
        <v>209</v>
      </c>
      <c r="AB190" s="28">
        <v>207</v>
      </c>
      <c r="AC190" s="28">
        <v>205</v>
      </c>
      <c r="AD190" s="28">
        <v>211</v>
      </c>
      <c r="AE190" s="28">
        <v>209</v>
      </c>
      <c r="AF190" s="28">
        <v>210</v>
      </c>
      <c r="AG190" s="28">
        <v>211</v>
      </c>
      <c r="AH190" s="28">
        <v>210</v>
      </c>
      <c r="AI190" s="28">
        <v>211</v>
      </c>
      <c r="AJ190" s="28">
        <v>210</v>
      </c>
      <c r="AK190" s="28">
        <v>210</v>
      </c>
      <c r="AL190" s="28">
        <v>210</v>
      </c>
      <c r="AM190" s="28">
        <v>207</v>
      </c>
      <c r="AN190" s="28">
        <v>208</v>
      </c>
      <c r="AO190" s="28">
        <v>208</v>
      </c>
      <c r="AP190" s="28">
        <v>210</v>
      </c>
      <c r="AQ190" s="28">
        <v>209</v>
      </c>
      <c r="AR190" s="28">
        <v>211</v>
      </c>
      <c r="AS190" s="28">
        <v>207</v>
      </c>
      <c r="AT190" s="28">
        <v>208</v>
      </c>
      <c r="AU190" s="28">
        <v>212</v>
      </c>
      <c r="AV190" s="28">
        <v>210</v>
      </c>
      <c r="AW190" s="28">
        <v>206</v>
      </c>
      <c r="AX190" s="28">
        <v>210</v>
      </c>
      <c r="AY190" s="28">
        <v>206</v>
      </c>
      <c r="AZ190" s="28">
        <v>210</v>
      </c>
      <c r="BA190" s="28">
        <v>211</v>
      </c>
      <c r="BB190" s="28">
        <v>210</v>
      </c>
      <c r="BC190" s="28">
        <v>211</v>
      </c>
      <c r="BD190" s="28">
        <v>209</v>
      </c>
      <c r="BE190" s="28">
        <v>208</v>
      </c>
      <c r="BF190" s="28">
        <v>213</v>
      </c>
      <c r="BG190" s="28">
        <v>205</v>
      </c>
      <c r="BH190" s="28">
        <v>210</v>
      </c>
      <c r="BI190" s="28">
        <v>211</v>
      </c>
      <c r="BJ190" s="28">
        <v>212</v>
      </c>
      <c r="BK190" s="28">
        <v>203</v>
      </c>
      <c r="BL190" s="28">
        <v>211</v>
      </c>
      <c r="BM190" s="28">
        <v>209</v>
      </c>
      <c r="BN190" s="28">
        <v>211</v>
      </c>
      <c r="BO190" s="28">
        <v>211</v>
      </c>
      <c r="BP190" s="28">
        <v>210</v>
      </c>
      <c r="BQ190" s="28">
        <v>207</v>
      </c>
      <c r="BR190" s="28">
        <v>211</v>
      </c>
      <c r="BS190" s="28">
        <v>209</v>
      </c>
      <c r="BT190" s="28">
        <v>209</v>
      </c>
      <c r="BU190" s="28">
        <v>209</v>
      </c>
      <c r="BV190" s="28">
        <v>209</v>
      </c>
      <c r="BW190" s="28">
        <v>210</v>
      </c>
      <c r="BX190" s="28">
        <v>210</v>
      </c>
      <c r="BY190" s="28">
        <v>208</v>
      </c>
      <c r="BZ190" s="28">
        <v>207</v>
      </c>
      <c r="CA190" s="28">
        <v>206</v>
      </c>
      <c r="CB190" s="28">
        <v>208</v>
      </c>
      <c r="CC190" s="28">
        <v>207</v>
      </c>
    </row>
    <row r="191" spans="1:81" x14ac:dyDescent="0.25">
      <c r="A191" s="21" t="s">
        <v>325</v>
      </c>
      <c r="B191" s="22">
        <v>5</v>
      </c>
      <c r="C191" s="21" t="s">
        <v>326</v>
      </c>
      <c r="D191" s="23">
        <v>12486</v>
      </c>
      <c r="E191" s="24">
        <v>59.985704200000001</v>
      </c>
      <c r="F191" s="25">
        <v>0</v>
      </c>
      <c r="G191" s="21" t="s">
        <v>252</v>
      </c>
      <c r="H191" s="26">
        <v>208.1495944161976</v>
      </c>
      <c r="I191" s="24">
        <v>211.8419658934435</v>
      </c>
      <c r="J191" s="24">
        <v>167.04251231938531</v>
      </c>
      <c r="K191" s="24">
        <v>151.81285422208569</v>
      </c>
      <c r="L191" s="24">
        <v>149.94976682811259</v>
      </c>
      <c r="M191" s="24">
        <v>75.980798132695909</v>
      </c>
      <c r="N191" s="24">
        <v>37.553748802974262</v>
      </c>
      <c r="O191" s="24">
        <v>443.95116537180911</v>
      </c>
      <c r="P191" s="27">
        <v>4.8042370815313147</v>
      </c>
      <c r="Q191" s="27">
        <v>0.44642916060157017</v>
      </c>
      <c r="R191" s="24">
        <v>9.2924048714780376</v>
      </c>
      <c r="S191" s="24">
        <v>2.4028834601521831E-2</v>
      </c>
      <c r="T191" s="24">
        <v>4.0044850232260128E-2</v>
      </c>
      <c r="U191" s="22"/>
      <c r="V191" s="28">
        <v>212</v>
      </c>
      <c r="W191" s="28">
        <v>210</v>
      </c>
      <c r="X191" s="28">
        <v>210</v>
      </c>
      <c r="Y191" s="28">
        <v>206</v>
      </c>
      <c r="Z191" s="28">
        <v>210</v>
      </c>
      <c r="AA191" s="28">
        <v>210</v>
      </c>
      <c r="AB191" s="28">
        <v>209</v>
      </c>
      <c r="AC191" s="28">
        <v>211</v>
      </c>
      <c r="AD191" s="28">
        <v>209</v>
      </c>
      <c r="AE191" s="28">
        <v>207</v>
      </c>
      <c r="AF191" s="28">
        <v>211</v>
      </c>
      <c r="AG191" s="28">
        <v>210</v>
      </c>
      <c r="AH191" s="28">
        <v>209</v>
      </c>
      <c r="AI191" s="28">
        <v>208</v>
      </c>
      <c r="AJ191" s="28">
        <v>208</v>
      </c>
      <c r="AK191" s="28">
        <v>209</v>
      </c>
      <c r="AL191" s="28">
        <v>210</v>
      </c>
      <c r="AM191" s="28">
        <v>211</v>
      </c>
      <c r="AN191" s="28">
        <v>210</v>
      </c>
      <c r="AO191" s="28">
        <v>208</v>
      </c>
      <c r="AP191" s="28">
        <v>208</v>
      </c>
      <c r="AQ191" s="28">
        <v>211</v>
      </c>
      <c r="AR191" s="28">
        <v>211</v>
      </c>
      <c r="AS191" s="28">
        <v>208</v>
      </c>
      <c r="AT191" s="28">
        <v>208</v>
      </c>
      <c r="AU191" s="28">
        <v>210</v>
      </c>
      <c r="AV191" s="28">
        <v>209</v>
      </c>
      <c r="AW191" s="28">
        <v>209</v>
      </c>
      <c r="AX191" s="28">
        <v>204</v>
      </c>
      <c r="AY191" s="28">
        <v>209</v>
      </c>
      <c r="AZ191" s="28">
        <v>210</v>
      </c>
      <c r="BA191" s="28">
        <v>211</v>
      </c>
      <c r="BB191" s="28">
        <v>209</v>
      </c>
      <c r="BC191" s="28">
        <v>206</v>
      </c>
      <c r="BD191" s="28">
        <v>209</v>
      </c>
      <c r="BE191" s="28">
        <v>208</v>
      </c>
      <c r="BF191" s="28">
        <v>210</v>
      </c>
      <c r="BG191" s="28">
        <v>210</v>
      </c>
      <c r="BH191" s="28">
        <v>212</v>
      </c>
      <c r="BI191" s="28">
        <v>208</v>
      </c>
      <c r="BJ191" s="28">
        <v>208</v>
      </c>
      <c r="BK191" s="28">
        <v>209</v>
      </c>
      <c r="BL191" s="28">
        <v>205</v>
      </c>
      <c r="BM191" s="28">
        <v>205</v>
      </c>
      <c r="BN191" s="28">
        <v>205</v>
      </c>
      <c r="BO191" s="28">
        <v>205</v>
      </c>
      <c r="BP191" s="28">
        <v>205</v>
      </c>
      <c r="BQ191" s="28">
        <v>202</v>
      </c>
      <c r="BR191" s="28">
        <v>202</v>
      </c>
      <c r="BS191" s="28">
        <v>203</v>
      </c>
      <c r="BT191" s="28">
        <v>204</v>
      </c>
      <c r="BU191" s="28">
        <v>202</v>
      </c>
      <c r="BV191" s="28">
        <v>202</v>
      </c>
      <c r="BW191" s="28">
        <v>207</v>
      </c>
      <c r="BX191" s="28">
        <v>209</v>
      </c>
      <c r="BY191" s="28">
        <v>208</v>
      </c>
      <c r="BZ191" s="28">
        <v>210</v>
      </c>
      <c r="CA191" s="28">
        <v>208</v>
      </c>
      <c r="CB191" s="28">
        <v>211</v>
      </c>
      <c r="CC191" s="28">
        <v>208</v>
      </c>
    </row>
    <row r="192" spans="1:81" x14ac:dyDescent="0.25">
      <c r="A192" s="13" t="s">
        <v>327</v>
      </c>
      <c r="B192" s="14">
        <v>1</v>
      </c>
      <c r="C192" s="13" t="s">
        <v>328</v>
      </c>
      <c r="D192" s="15">
        <v>12404</v>
      </c>
      <c r="E192" s="16">
        <v>59.991623399999987</v>
      </c>
      <c r="F192" s="17">
        <v>0</v>
      </c>
      <c r="G192" s="13" t="s">
        <v>252</v>
      </c>
      <c r="H192" s="18">
        <v>206.76219940399221</v>
      </c>
      <c r="I192" s="16">
        <v>210.24304095534441</v>
      </c>
      <c r="J192" s="16">
        <v>168.08378102448421</v>
      </c>
      <c r="K192" s="16">
        <v>153.87340364229649</v>
      </c>
      <c r="L192" s="16">
        <v>154.5115375260344</v>
      </c>
      <c r="M192" s="16">
        <v>97.183933552105159</v>
      </c>
      <c r="N192" s="16">
        <v>39.093499923767673</v>
      </c>
      <c r="O192" s="16">
        <v>391.19039236396361</v>
      </c>
      <c r="P192" s="19">
        <v>4.8364739922605606</v>
      </c>
      <c r="Q192" s="19">
        <v>0.42584591195791333</v>
      </c>
      <c r="R192" s="16">
        <v>8.8048837363616954</v>
      </c>
      <c r="S192" s="16">
        <v>8.0625655083447559E-3</v>
      </c>
      <c r="T192" s="16">
        <v>1.612383102225089E-2</v>
      </c>
      <c r="U192" s="14"/>
      <c r="V192" s="20">
        <v>208</v>
      </c>
      <c r="W192" s="20">
        <v>206</v>
      </c>
      <c r="X192" s="20">
        <v>208</v>
      </c>
      <c r="Y192" s="20">
        <v>205</v>
      </c>
      <c r="Z192" s="20">
        <v>203</v>
      </c>
      <c r="AA192" s="20">
        <v>208</v>
      </c>
      <c r="AB192" s="20">
        <v>207</v>
      </c>
      <c r="AC192" s="20">
        <v>209</v>
      </c>
      <c r="AD192" s="20">
        <v>204</v>
      </c>
      <c r="AE192" s="20">
        <v>207</v>
      </c>
      <c r="AF192" s="20">
        <v>207</v>
      </c>
      <c r="AG192" s="20">
        <v>206</v>
      </c>
      <c r="AH192" s="20">
        <v>206</v>
      </c>
      <c r="AI192" s="20">
        <v>207</v>
      </c>
      <c r="AJ192" s="20">
        <v>205</v>
      </c>
      <c r="AK192" s="20">
        <v>207</v>
      </c>
      <c r="AL192" s="20">
        <v>207</v>
      </c>
      <c r="AM192" s="20">
        <v>208</v>
      </c>
      <c r="AN192" s="20">
        <v>208</v>
      </c>
      <c r="AO192" s="20">
        <v>205</v>
      </c>
      <c r="AP192" s="20">
        <v>208</v>
      </c>
      <c r="AQ192" s="20">
        <v>208</v>
      </c>
      <c r="AR192" s="20">
        <v>210</v>
      </c>
      <c r="AS192" s="20">
        <v>208</v>
      </c>
      <c r="AT192" s="20">
        <v>202</v>
      </c>
      <c r="AU192" s="20">
        <v>207</v>
      </c>
      <c r="AV192" s="20">
        <v>206</v>
      </c>
      <c r="AW192" s="20">
        <v>210</v>
      </c>
      <c r="AX192" s="20">
        <v>208</v>
      </c>
      <c r="AY192" s="20">
        <v>205</v>
      </c>
      <c r="AZ192" s="20">
        <v>209</v>
      </c>
      <c r="BA192" s="20">
        <v>206</v>
      </c>
      <c r="BB192" s="20">
        <v>206</v>
      </c>
      <c r="BC192" s="20">
        <v>206</v>
      </c>
      <c r="BD192" s="20">
        <v>205</v>
      </c>
      <c r="BE192" s="20">
        <v>210</v>
      </c>
      <c r="BF192" s="20">
        <v>209</v>
      </c>
      <c r="BG192" s="20">
        <v>208</v>
      </c>
      <c r="BH192" s="20">
        <v>208</v>
      </c>
      <c r="BI192" s="20">
        <v>205</v>
      </c>
      <c r="BJ192" s="20">
        <v>209</v>
      </c>
      <c r="BK192" s="20">
        <v>208</v>
      </c>
      <c r="BL192" s="20">
        <v>209</v>
      </c>
      <c r="BM192" s="20">
        <v>205</v>
      </c>
      <c r="BN192" s="20">
        <v>203</v>
      </c>
      <c r="BO192" s="20">
        <v>206</v>
      </c>
      <c r="BP192" s="20">
        <v>206</v>
      </c>
      <c r="BQ192" s="20">
        <v>208</v>
      </c>
      <c r="BR192" s="20">
        <v>204</v>
      </c>
      <c r="BS192" s="20">
        <v>208</v>
      </c>
      <c r="BT192" s="20">
        <v>207</v>
      </c>
      <c r="BU192" s="20">
        <v>207</v>
      </c>
      <c r="BV192" s="20">
        <v>207</v>
      </c>
      <c r="BW192" s="20">
        <v>206</v>
      </c>
      <c r="BX192" s="20">
        <v>204</v>
      </c>
      <c r="BY192" s="20">
        <v>208</v>
      </c>
      <c r="BZ192" s="20">
        <v>208</v>
      </c>
      <c r="CA192" s="20">
        <v>207</v>
      </c>
      <c r="CB192" s="20">
        <v>204</v>
      </c>
      <c r="CC192" s="20">
        <v>205</v>
      </c>
    </row>
    <row r="193" spans="1:81" x14ac:dyDescent="0.25">
      <c r="A193" s="13" t="s">
        <v>327</v>
      </c>
      <c r="B193" s="14">
        <v>2</v>
      </c>
      <c r="C193" s="13" t="s">
        <v>328</v>
      </c>
      <c r="D193" s="15">
        <v>12360</v>
      </c>
      <c r="E193" s="16">
        <v>60.000121200000002</v>
      </c>
      <c r="F193" s="17">
        <v>0</v>
      </c>
      <c r="G193" s="13" t="s">
        <v>252</v>
      </c>
      <c r="H193" s="18">
        <v>205.99958388084059</v>
      </c>
      <c r="I193" s="16">
        <v>209.47672713561519</v>
      </c>
      <c r="J193" s="16">
        <v>165.8914008533454</v>
      </c>
      <c r="K193" s="16">
        <v>150.55736940382681</v>
      </c>
      <c r="L193" s="16">
        <v>147.9672869266912</v>
      </c>
      <c r="M193" s="16">
        <v>65.798023098396001</v>
      </c>
      <c r="N193" s="16">
        <v>35.860674108951898</v>
      </c>
      <c r="O193" s="16">
        <v>363.59669854197722</v>
      </c>
      <c r="P193" s="19">
        <v>4.854378737864077</v>
      </c>
      <c r="Q193" s="19">
        <v>0.45178348918457673</v>
      </c>
      <c r="R193" s="16">
        <v>9.3067210776257046</v>
      </c>
      <c r="S193" s="16">
        <v>2.4273808560563149E-2</v>
      </c>
      <c r="T193" s="16">
        <v>4.0453074433656963E-2</v>
      </c>
      <c r="U193" s="14"/>
      <c r="V193" s="20">
        <v>207</v>
      </c>
      <c r="W193" s="20">
        <v>208</v>
      </c>
      <c r="X193" s="20">
        <v>209</v>
      </c>
      <c r="Y193" s="20">
        <v>206</v>
      </c>
      <c r="Z193" s="20">
        <v>207</v>
      </c>
      <c r="AA193" s="20">
        <v>205</v>
      </c>
      <c r="AB193" s="20">
        <v>209</v>
      </c>
      <c r="AC193" s="20">
        <v>209</v>
      </c>
      <c r="AD193" s="20">
        <v>208</v>
      </c>
      <c r="AE193" s="20">
        <v>204</v>
      </c>
      <c r="AF193" s="20">
        <v>207</v>
      </c>
      <c r="AG193" s="20">
        <v>207</v>
      </c>
      <c r="AH193" s="20">
        <v>208</v>
      </c>
      <c r="AI193" s="20">
        <v>206</v>
      </c>
      <c r="AJ193" s="20">
        <v>205</v>
      </c>
      <c r="AK193" s="20">
        <v>207</v>
      </c>
      <c r="AL193" s="20">
        <v>208</v>
      </c>
      <c r="AM193" s="20">
        <v>209</v>
      </c>
      <c r="AN193" s="20">
        <v>205</v>
      </c>
      <c r="AO193" s="20">
        <v>203</v>
      </c>
      <c r="AP193" s="20">
        <v>209</v>
      </c>
      <c r="AQ193" s="20">
        <v>209</v>
      </c>
      <c r="AR193" s="20">
        <v>208</v>
      </c>
      <c r="AS193" s="20">
        <v>209</v>
      </c>
      <c r="AT193" s="20">
        <v>207</v>
      </c>
      <c r="AU193" s="20">
        <v>208</v>
      </c>
      <c r="AV193" s="20">
        <v>207</v>
      </c>
      <c r="AW193" s="20">
        <v>209</v>
      </c>
      <c r="AX193" s="20">
        <v>206</v>
      </c>
      <c r="AY193" s="20">
        <v>202</v>
      </c>
      <c r="AZ193" s="20">
        <v>207</v>
      </c>
      <c r="BA193" s="20">
        <v>208</v>
      </c>
      <c r="BB193" s="20">
        <v>207</v>
      </c>
      <c r="BC193" s="20">
        <v>208</v>
      </c>
      <c r="BD193" s="20">
        <v>202</v>
      </c>
      <c r="BE193" s="20">
        <v>206</v>
      </c>
      <c r="BF193" s="20">
        <v>208</v>
      </c>
      <c r="BG193" s="20">
        <v>208</v>
      </c>
      <c r="BH193" s="20">
        <v>206</v>
      </c>
      <c r="BI193" s="20">
        <v>199</v>
      </c>
      <c r="BJ193" s="20">
        <v>203</v>
      </c>
      <c r="BK193" s="20">
        <v>206</v>
      </c>
      <c r="BL193" s="20">
        <v>203</v>
      </c>
      <c r="BM193" s="20">
        <v>201</v>
      </c>
      <c r="BN193" s="20">
        <v>202</v>
      </c>
      <c r="BO193" s="20">
        <v>201</v>
      </c>
      <c r="BP193" s="20">
        <v>202</v>
      </c>
      <c r="BQ193" s="20">
        <v>207</v>
      </c>
      <c r="BR193" s="20">
        <v>208</v>
      </c>
      <c r="BS193" s="20">
        <v>201</v>
      </c>
      <c r="BT193" s="20">
        <v>207</v>
      </c>
      <c r="BU193" s="20">
        <v>206</v>
      </c>
      <c r="BV193" s="20">
        <v>205</v>
      </c>
      <c r="BW193" s="20">
        <v>206</v>
      </c>
      <c r="BX193" s="20">
        <v>206</v>
      </c>
      <c r="BY193" s="20">
        <v>208</v>
      </c>
      <c r="BZ193" s="20">
        <v>206</v>
      </c>
      <c r="CA193" s="20">
        <v>204</v>
      </c>
      <c r="CB193" s="20">
        <v>205</v>
      </c>
      <c r="CC193" s="20">
        <v>203</v>
      </c>
    </row>
    <row r="194" spans="1:81" x14ac:dyDescent="0.25">
      <c r="A194" s="13" t="s">
        <v>327</v>
      </c>
      <c r="B194" s="14">
        <v>3</v>
      </c>
      <c r="C194" s="13" t="s">
        <v>328</v>
      </c>
      <c r="D194" s="15">
        <v>12358</v>
      </c>
      <c r="E194" s="16">
        <v>59.993561499999998</v>
      </c>
      <c r="F194" s="17">
        <v>0</v>
      </c>
      <c r="G194" s="13" t="s">
        <v>252</v>
      </c>
      <c r="H194" s="18">
        <v>205.98877097836569</v>
      </c>
      <c r="I194" s="16">
        <v>209.84156961494071</v>
      </c>
      <c r="J194" s="16">
        <v>165.5084660062989</v>
      </c>
      <c r="K194" s="16">
        <v>147.81008349451579</v>
      </c>
      <c r="L194" s="16">
        <v>147.46009920253911</v>
      </c>
      <c r="M194" s="16">
        <v>74.380411174912965</v>
      </c>
      <c r="N194" s="16">
        <v>34.133071191346581</v>
      </c>
      <c r="O194" s="16">
        <v>395.71049819951719</v>
      </c>
      <c r="P194" s="19">
        <v>4.8546335572099046</v>
      </c>
      <c r="Q194" s="19">
        <v>0.45925692301411669</v>
      </c>
      <c r="R194" s="16">
        <v>9.4601769134983833</v>
      </c>
      <c r="S194" s="16">
        <v>1.6185158209921498E-2</v>
      </c>
      <c r="T194" s="16">
        <v>4.0459621297944649E-2</v>
      </c>
      <c r="U194" s="14"/>
      <c r="V194" s="20">
        <v>208</v>
      </c>
      <c r="W194" s="20">
        <v>207</v>
      </c>
      <c r="X194" s="20">
        <v>206</v>
      </c>
      <c r="Y194" s="20">
        <v>207</v>
      </c>
      <c r="Z194" s="20">
        <v>206</v>
      </c>
      <c r="AA194" s="20">
        <v>204</v>
      </c>
      <c r="AB194" s="20">
        <v>206</v>
      </c>
      <c r="AC194" s="20">
        <v>209</v>
      </c>
      <c r="AD194" s="20">
        <v>208</v>
      </c>
      <c r="AE194" s="20">
        <v>207</v>
      </c>
      <c r="AF194" s="20">
        <v>204</v>
      </c>
      <c r="AG194" s="20">
        <v>207</v>
      </c>
      <c r="AH194" s="20">
        <v>206</v>
      </c>
      <c r="AI194" s="20">
        <v>208</v>
      </c>
      <c r="AJ194" s="20">
        <v>205</v>
      </c>
      <c r="AK194" s="20">
        <v>203</v>
      </c>
      <c r="AL194" s="20">
        <v>207</v>
      </c>
      <c r="AM194" s="20">
        <v>206</v>
      </c>
      <c r="AN194" s="20">
        <v>208</v>
      </c>
      <c r="AO194" s="20">
        <v>209</v>
      </c>
      <c r="AP194" s="20">
        <v>205</v>
      </c>
      <c r="AQ194" s="20">
        <v>201</v>
      </c>
      <c r="AR194" s="20">
        <v>208</v>
      </c>
      <c r="AS194" s="20">
        <v>209</v>
      </c>
      <c r="AT194" s="20">
        <v>208</v>
      </c>
      <c r="AU194" s="20">
        <v>205</v>
      </c>
      <c r="AV194" s="20">
        <v>204</v>
      </c>
      <c r="AW194" s="20">
        <v>199</v>
      </c>
      <c r="AX194" s="20">
        <v>204</v>
      </c>
      <c r="AY194" s="20">
        <v>206</v>
      </c>
      <c r="AZ194" s="20">
        <v>209</v>
      </c>
      <c r="BA194" s="20">
        <v>207</v>
      </c>
      <c r="BB194" s="20">
        <v>209</v>
      </c>
      <c r="BC194" s="20">
        <v>209</v>
      </c>
      <c r="BD194" s="20">
        <v>204</v>
      </c>
      <c r="BE194" s="20">
        <v>193</v>
      </c>
      <c r="BF194" s="20">
        <v>206</v>
      </c>
      <c r="BG194" s="20">
        <v>208</v>
      </c>
      <c r="BH194" s="20">
        <v>207</v>
      </c>
      <c r="BI194" s="20">
        <v>207</v>
      </c>
      <c r="BJ194" s="20">
        <v>207</v>
      </c>
      <c r="BK194" s="20">
        <v>204</v>
      </c>
      <c r="BL194" s="20">
        <v>207</v>
      </c>
      <c r="BM194" s="20">
        <v>205</v>
      </c>
      <c r="BN194" s="20">
        <v>207</v>
      </c>
      <c r="BO194" s="20">
        <v>204</v>
      </c>
      <c r="BP194" s="20">
        <v>207</v>
      </c>
      <c r="BQ194" s="20">
        <v>206</v>
      </c>
      <c r="BR194" s="20">
        <v>208</v>
      </c>
      <c r="BS194" s="20">
        <v>208</v>
      </c>
      <c r="BT194" s="20">
        <v>207</v>
      </c>
      <c r="BU194" s="20">
        <v>205</v>
      </c>
      <c r="BV194" s="20">
        <v>206</v>
      </c>
      <c r="BW194" s="20">
        <v>202</v>
      </c>
      <c r="BX194" s="20">
        <v>205</v>
      </c>
      <c r="BY194" s="20">
        <v>204</v>
      </c>
      <c r="BZ194" s="20">
        <v>207</v>
      </c>
      <c r="CA194" s="20">
        <v>207</v>
      </c>
      <c r="CB194" s="20">
        <v>206</v>
      </c>
      <c r="CC194" s="20">
        <v>207</v>
      </c>
    </row>
    <row r="195" spans="1:81" x14ac:dyDescent="0.25">
      <c r="A195" s="13" t="s">
        <v>327</v>
      </c>
      <c r="B195" s="14">
        <v>4</v>
      </c>
      <c r="C195" s="13" t="s">
        <v>328</v>
      </c>
      <c r="D195" s="15">
        <v>12542</v>
      </c>
      <c r="E195" s="16">
        <v>59.992599499999997</v>
      </c>
      <c r="F195" s="17">
        <v>0</v>
      </c>
      <c r="G195" s="13" t="s">
        <v>252</v>
      </c>
      <c r="H195" s="18">
        <v>209.05911903350679</v>
      </c>
      <c r="I195" s="16">
        <v>212.83388315419811</v>
      </c>
      <c r="J195" s="16">
        <v>167.13162685257049</v>
      </c>
      <c r="K195" s="16">
        <v>153.8775567044564</v>
      </c>
      <c r="L195" s="16">
        <v>151.6245655789576</v>
      </c>
      <c r="M195" s="16">
        <v>76.66289485223993</v>
      </c>
      <c r="N195" s="16">
        <v>37.127793866488453</v>
      </c>
      <c r="O195" s="16">
        <v>302.0600495378481</v>
      </c>
      <c r="P195" s="19">
        <v>4.7833359512039548</v>
      </c>
      <c r="Q195" s="19">
        <v>0.43919799783570812</v>
      </c>
      <c r="R195" s="16">
        <v>9.1818346508813153</v>
      </c>
      <c r="S195" s="16">
        <v>3.1895383143290011E-2</v>
      </c>
      <c r="T195" s="16">
        <v>3.1892840057407112E-2</v>
      </c>
      <c r="U195" s="14"/>
      <c r="V195" s="20">
        <v>204</v>
      </c>
      <c r="W195" s="20">
        <v>209</v>
      </c>
      <c r="X195" s="20">
        <v>210</v>
      </c>
      <c r="Y195" s="20">
        <v>209</v>
      </c>
      <c r="Z195" s="20">
        <v>208</v>
      </c>
      <c r="AA195" s="20">
        <v>208</v>
      </c>
      <c r="AB195" s="20">
        <v>209</v>
      </c>
      <c r="AC195" s="20">
        <v>204</v>
      </c>
      <c r="AD195" s="20">
        <v>210</v>
      </c>
      <c r="AE195" s="20">
        <v>212</v>
      </c>
      <c r="AF195" s="20">
        <v>206</v>
      </c>
      <c r="AG195" s="20">
        <v>210</v>
      </c>
      <c r="AH195" s="20">
        <v>210</v>
      </c>
      <c r="AI195" s="20">
        <v>211</v>
      </c>
      <c r="AJ195" s="20">
        <v>207</v>
      </c>
      <c r="AK195" s="20">
        <v>210</v>
      </c>
      <c r="AL195" s="20">
        <v>211</v>
      </c>
      <c r="AM195" s="20">
        <v>210</v>
      </c>
      <c r="AN195" s="20">
        <v>211</v>
      </c>
      <c r="AO195" s="20">
        <v>209</v>
      </c>
      <c r="AP195" s="20">
        <v>204</v>
      </c>
      <c r="AQ195" s="20">
        <v>210</v>
      </c>
      <c r="AR195" s="20">
        <v>212</v>
      </c>
      <c r="AS195" s="20">
        <v>210</v>
      </c>
      <c r="AT195" s="20">
        <v>209</v>
      </c>
      <c r="AU195" s="20">
        <v>209</v>
      </c>
      <c r="AV195" s="20">
        <v>207</v>
      </c>
      <c r="AW195" s="20">
        <v>209</v>
      </c>
      <c r="AX195" s="20">
        <v>209</v>
      </c>
      <c r="AY195" s="20">
        <v>209</v>
      </c>
      <c r="AZ195" s="20">
        <v>207</v>
      </c>
      <c r="BA195" s="20">
        <v>208</v>
      </c>
      <c r="BB195" s="20">
        <v>207</v>
      </c>
      <c r="BC195" s="20">
        <v>209</v>
      </c>
      <c r="BD195" s="20">
        <v>210</v>
      </c>
      <c r="BE195" s="20">
        <v>210</v>
      </c>
      <c r="BF195" s="20">
        <v>211</v>
      </c>
      <c r="BG195" s="20">
        <v>209</v>
      </c>
      <c r="BH195" s="20">
        <v>210</v>
      </c>
      <c r="BI195" s="20">
        <v>209</v>
      </c>
      <c r="BJ195" s="20">
        <v>201</v>
      </c>
      <c r="BK195" s="20">
        <v>209</v>
      </c>
      <c r="BL195" s="20">
        <v>210</v>
      </c>
      <c r="BM195" s="20">
        <v>211</v>
      </c>
      <c r="BN195" s="20">
        <v>211</v>
      </c>
      <c r="BO195" s="20">
        <v>211</v>
      </c>
      <c r="BP195" s="20">
        <v>211</v>
      </c>
      <c r="BQ195" s="20">
        <v>210</v>
      </c>
      <c r="BR195" s="20">
        <v>211</v>
      </c>
      <c r="BS195" s="20">
        <v>209</v>
      </c>
      <c r="BT195" s="20">
        <v>205</v>
      </c>
      <c r="BU195" s="20">
        <v>211</v>
      </c>
      <c r="BV195" s="20">
        <v>207</v>
      </c>
      <c r="BW195" s="20">
        <v>211</v>
      </c>
      <c r="BX195" s="20">
        <v>211</v>
      </c>
      <c r="BY195" s="20">
        <v>209</v>
      </c>
      <c r="BZ195" s="20">
        <v>207</v>
      </c>
      <c r="CA195" s="20">
        <v>210</v>
      </c>
      <c r="CB195" s="20">
        <v>212</v>
      </c>
      <c r="CC195" s="20">
        <v>209</v>
      </c>
    </row>
    <row r="196" spans="1:81" x14ac:dyDescent="0.25">
      <c r="A196" s="13" t="s">
        <v>327</v>
      </c>
      <c r="B196" s="14">
        <v>5</v>
      </c>
      <c r="C196" s="13" t="s">
        <v>328</v>
      </c>
      <c r="D196" s="15">
        <v>12535</v>
      </c>
      <c r="E196" s="16">
        <v>59.998326700000007</v>
      </c>
      <c r="F196" s="17">
        <v>0</v>
      </c>
      <c r="G196" s="13" t="s">
        <v>252</v>
      </c>
      <c r="H196" s="18">
        <v>208.9224931667969</v>
      </c>
      <c r="I196" s="16">
        <v>212.72522282967091</v>
      </c>
      <c r="J196" s="16">
        <v>167.37090765577969</v>
      </c>
      <c r="K196" s="16">
        <v>147.1155408973548</v>
      </c>
      <c r="L196" s="16">
        <v>147.29990177248121</v>
      </c>
      <c r="M196" s="16">
        <v>72.694811189766881</v>
      </c>
      <c r="N196" s="16">
        <v>38.213883103731582</v>
      </c>
      <c r="O196" s="16">
        <v>325.26671870934172</v>
      </c>
      <c r="P196" s="19">
        <v>4.7864640366972484</v>
      </c>
      <c r="Q196" s="19">
        <v>0.44340111390407277</v>
      </c>
      <c r="R196" s="16">
        <v>9.2636466189773774</v>
      </c>
      <c r="S196" s="16">
        <v>2.393489707994256E-2</v>
      </c>
      <c r="T196" s="16">
        <v>3.9888312724371759E-2</v>
      </c>
      <c r="U196" s="14"/>
      <c r="V196" s="20">
        <v>210</v>
      </c>
      <c r="W196" s="20">
        <v>204</v>
      </c>
      <c r="X196" s="20">
        <v>205</v>
      </c>
      <c r="Y196" s="20">
        <v>211</v>
      </c>
      <c r="Z196" s="20">
        <v>210</v>
      </c>
      <c r="AA196" s="20">
        <v>210</v>
      </c>
      <c r="AB196" s="20">
        <v>204</v>
      </c>
      <c r="AC196" s="20">
        <v>211</v>
      </c>
      <c r="AD196" s="20">
        <v>210</v>
      </c>
      <c r="AE196" s="20">
        <v>210</v>
      </c>
      <c r="AF196" s="20">
        <v>209</v>
      </c>
      <c r="AG196" s="20">
        <v>209</v>
      </c>
      <c r="AH196" s="20">
        <v>207</v>
      </c>
      <c r="AI196" s="20">
        <v>206</v>
      </c>
      <c r="AJ196" s="20">
        <v>211</v>
      </c>
      <c r="AK196" s="20">
        <v>208</v>
      </c>
      <c r="AL196" s="20">
        <v>205</v>
      </c>
      <c r="AM196" s="20">
        <v>208</v>
      </c>
      <c r="AN196" s="20">
        <v>209</v>
      </c>
      <c r="AO196" s="20">
        <v>211</v>
      </c>
      <c r="AP196" s="20">
        <v>210</v>
      </c>
      <c r="AQ196" s="20">
        <v>210</v>
      </c>
      <c r="AR196" s="20">
        <v>211</v>
      </c>
      <c r="AS196" s="20">
        <v>209</v>
      </c>
      <c r="AT196" s="20">
        <v>209</v>
      </c>
      <c r="AU196" s="20">
        <v>210</v>
      </c>
      <c r="AV196" s="20">
        <v>207</v>
      </c>
      <c r="AW196" s="20">
        <v>211</v>
      </c>
      <c r="AX196" s="20">
        <v>211</v>
      </c>
      <c r="AY196" s="20">
        <v>209</v>
      </c>
      <c r="AZ196" s="20">
        <v>211</v>
      </c>
      <c r="BA196" s="20">
        <v>211</v>
      </c>
      <c r="BB196" s="20">
        <v>211</v>
      </c>
      <c r="BC196" s="20">
        <v>207</v>
      </c>
      <c r="BD196" s="20">
        <v>207</v>
      </c>
      <c r="BE196" s="20">
        <v>210</v>
      </c>
      <c r="BF196" s="20">
        <v>206</v>
      </c>
      <c r="BG196" s="20">
        <v>209</v>
      </c>
      <c r="BH196" s="20">
        <v>210</v>
      </c>
      <c r="BI196" s="20">
        <v>209</v>
      </c>
      <c r="BJ196" s="20">
        <v>211</v>
      </c>
      <c r="BK196" s="20">
        <v>211</v>
      </c>
      <c r="BL196" s="20">
        <v>210</v>
      </c>
      <c r="BM196" s="20">
        <v>209</v>
      </c>
      <c r="BN196" s="20">
        <v>212</v>
      </c>
      <c r="BO196" s="20">
        <v>208</v>
      </c>
      <c r="BP196" s="20">
        <v>206</v>
      </c>
      <c r="BQ196" s="20">
        <v>208</v>
      </c>
      <c r="BR196" s="20">
        <v>210</v>
      </c>
      <c r="BS196" s="20">
        <v>209</v>
      </c>
      <c r="BT196" s="20">
        <v>208</v>
      </c>
      <c r="BU196" s="20">
        <v>207</v>
      </c>
      <c r="BV196" s="20">
        <v>209</v>
      </c>
      <c r="BW196" s="20">
        <v>211</v>
      </c>
      <c r="BX196" s="20">
        <v>209</v>
      </c>
      <c r="BY196" s="20">
        <v>207</v>
      </c>
      <c r="BZ196" s="20">
        <v>206</v>
      </c>
      <c r="CA196" s="20">
        <v>209</v>
      </c>
      <c r="CB196" s="20">
        <v>209</v>
      </c>
      <c r="CC196" s="20">
        <v>210</v>
      </c>
    </row>
  </sheetData>
  <autoFilter ref="A1:T19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56"/>
  <sheetViews>
    <sheetView showGridLines="0" workbookViewId="0">
      <pane xSplit="2" ySplit="9" topLeftCell="C10" activePane="bottomRight" state="frozen"/>
      <selection pane="topRight"/>
      <selection pane="bottomLeft"/>
      <selection pane="bottomRight" activeCell="S6" sqref="S6"/>
    </sheetView>
  </sheetViews>
  <sheetFormatPr defaultRowHeight="15" x14ac:dyDescent="0.25"/>
  <cols>
    <col min="1" max="1" width="5" customWidth="1"/>
    <col min="2" max="2" width="49.7109375" customWidth="1"/>
    <col min="3" max="3" width="11" customWidth="1"/>
    <col min="4" max="4" width="4" customWidth="1"/>
    <col min="5" max="5" width="9" customWidth="1"/>
    <col min="6" max="7" width="7" customWidth="1"/>
    <col min="8" max="10" width="8" customWidth="1"/>
    <col min="11" max="12" width="9" customWidth="1"/>
    <col min="13" max="13" width="10" customWidth="1"/>
    <col min="14" max="15" width="7" customWidth="1"/>
    <col min="16" max="16" width="15" customWidth="1"/>
    <col min="17" max="17" width="8" customWidth="1"/>
    <col min="18" max="18" width="13.28515625" customWidth="1"/>
    <col min="19" max="19" width="11.85546875" customWidth="1"/>
    <col min="20" max="20" width="9" customWidth="1"/>
    <col min="21" max="21" width="7" customWidth="1"/>
    <col min="22" max="22" width="11" customWidth="1"/>
  </cols>
  <sheetData>
    <row r="2" spans="1:22" ht="19.5" x14ac:dyDescent="0.3">
      <c r="B2" s="37" t="s">
        <v>329</v>
      </c>
    </row>
    <row r="3" spans="1:22" x14ac:dyDescent="0.25">
      <c r="B3" s="38" t="s">
        <v>330</v>
      </c>
    </row>
    <row r="5" spans="1:22" ht="40.5" customHeight="1" x14ac:dyDescent="0.25">
      <c r="B5" s="84" t="s">
        <v>331</v>
      </c>
      <c r="C5" s="78"/>
      <c r="D5" s="78"/>
      <c r="E5" s="85" t="s">
        <v>332</v>
      </c>
      <c r="F5" s="78"/>
      <c r="G5" s="78"/>
      <c r="H5" s="86" t="s">
        <v>333</v>
      </c>
      <c r="I5" s="78"/>
      <c r="J5" s="78"/>
      <c r="K5" s="80" t="s">
        <v>64</v>
      </c>
      <c r="L5" s="78"/>
      <c r="M5" s="78"/>
      <c r="N5" s="80" t="s">
        <v>334</v>
      </c>
      <c r="O5" s="78"/>
      <c r="P5" s="78"/>
    </row>
    <row r="6" spans="1:22" ht="51" customHeight="1" x14ac:dyDescent="0.25">
      <c r="B6" s="81" t="s">
        <v>335</v>
      </c>
      <c r="C6" s="78"/>
      <c r="D6" s="78"/>
      <c r="E6" s="82" t="s">
        <v>336</v>
      </c>
      <c r="F6" s="78"/>
      <c r="G6" s="78"/>
      <c r="H6" s="83" t="s">
        <v>337</v>
      </c>
      <c r="I6" s="78"/>
      <c r="J6" s="78"/>
      <c r="K6" s="77" t="s">
        <v>338</v>
      </c>
      <c r="L6" s="78"/>
      <c r="M6" s="78"/>
      <c r="N6" s="77" t="s">
        <v>339</v>
      </c>
      <c r="O6" s="78"/>
      <c r="P6" s="78"/>
    </row>
    <row r="9" spans="1:22" ht="30" customHeight="1" x14ac:dyDescent="0.25">
      <c r="A9" s="10" t="s">
        <v>340</v>
      </c>
      <c r="B9" s="10" t="s">
        <v>341</v>
      </c>
      <c r="C9" s="10" t="s">
        <v>342</v>
      </c>
      <c r="D9" s="10" t="s">
        <v>343</v>
      </c>
      <c r="E9" s="10" t="s">
        <v>344</v>
      </c>
      <c r="F9" s="10" t="s">
        <v>345</v>
      </c>
      <c r="G9" s="10" t="s">
        <v>346</v>
      </c>
      <c r="H9" s="10" t="s">
        <v>347</v>
      </c>
      <c r="I9" s="10" t="s">
        <v>348</v>
      </c>
      <c r="J9" s="10" t="s">
        <v>349</v>
      </c>
      <c r="K9" s="10" t="s">
        <v>350</v>
      </c>
      <c r="L9" s="10" t="s">
        <v>351</v>
      </c>
      <c r="M9" s="10" t="s">
        <v>352</v>
      </c>
      <c r="N9" s="10" t="s">
        <v>353</v>
      </c>
      <c r="O9" s="10" t="s">
        <v>354</v>
      </c>
      <c r="P9" s="10" t="s">
        <v>355</v>
      </c>
      <c r="Q9" s="10" t="s">
        <v>356</v>
      </c>
      <c r="R9" s="10" t="s">
        <v>357</v>
      </c>
      <c r="S9" s="10" t="s">
        <v>358</v>
      </c>
      <c r="T9" s="10" t="s">
        <v>359</v>
      </c>
      <c r="U9" s="10" t="s">
        <v>360</v>
      </c>
      <c r="V9" s="10" t="s">
        <v>361</v>
      </c>
    </row>
    <row r="10" spans="1:22" x14ac:dyDescent="0.25">
      <c r="A10" s="43">
        <v>1</v>
      </c>
      <c r="B10" s="13" t="s">
        <v>250</v>
      </c>
      <c r="C10" s="44" t="s">
        <v>362</v>
      </c>
      <c r="D10" s="14">
        <v>5</v>
      </c>
      <c r="E10" s="45">
        <f>AVERAGE('3. Raw Data'!H2:H6)</f>
        <v>242.01937892606401</v>
      </c>
      <c r="F10" s="16">
        <f>STDEV('3. Raw Data'!H2:H6)</f>
        <v>0.84940430885728435</v>
      </c>
      <c r="G10" s="16">
        <f t="shared" ref="G10:G48" si="0">F10/E10*100</f>
        <v>0.35096541137591053</v>
      </c>
      <c r="H10" s="16">
        <f t="shared" ref="H10:H48" si="1">TINV(0.05,5-1)*F10/SQRT(5)</f>
        <v>1.0546747502272407</v>
      </c>
      <c r="I10" s="16">
        <f>AVERAGE('3. Raw Data'!I2:I6)</f>
        <v>245.89390887275582</v>
      </c>
      <c r="J10" s="16">
        <f>AVERAGE('3. Raw Data'!J2:J6)</f>
        <v>192.59228439905513</v>
      </c>
      <c r="K10" s="16">
        <f>AVERAGE('3. Raw Data'!K2:K6)</f>
        <v>168.88745821251615</v>
      </c>
      <c r="L10" s="16">
        <f>AVERAGE('3. Raw Data'!L2:L6)</f>
        <v>169.62557371730458</v>
      </c>
      <c r="M10" s="16">
        <f>AVERAGE('3. Raw Data'!M2:M6)</f>
        <v>88.266120541323204</v>
      </c>
      <c r="N10" s="16">
        <f>AVERAGE('3. Raw Data'!N2:N6)</f>
        <v>42.36583561227868</v>
      </c>
      <c r="O10" s="16">
        <f>AVERAGE('3. Raw Data'!O2:O6)</f>
        <v>445.86530176284259</v>
      </c>
      <c r="P10" s="16">
        <f>AVERAGE('3. Raw Data'!R2:R6)</f>
        <v>10.041674123587693</v>
      </c>
      <c r="Q10" s="16">
        <f>AVERAGE('3. Raw Data'!S2:S6)</f>
        <v>2.7540924392337823E-2</v>
      </c>
      <c r="R10" s="16">
        <v>0</v>
      </c>
      <c r="S10" s="46">
        <v>0</v>
      </c>
      <c r="T10" s="47" t="s">
        <v>363</v>
      </c>
      <c r="U10" s="48" t="s">
        <v>364</v>
      </c>
      <c r="V10" s="14" t="str">
        <f t="shared" ref="V10:V48" si="2">IF(G10&lt;1,"Excellent",IF(G10&lt;2,"Good",IF(G10&lt;4,"Fair","Poor")))</f>
        <v>Excellent</v>
      </c>
    </row>
    <row r="11" spans="1:22" x14ac:dyDescent="0.25">
      <c r="A11" s="49">
        <v>2</v>
      </c>
      <c r="B11" s="21" t="s">
        <v>253</v>
      </c>
      <c r="C11" s="50" t="s">
        <v>362</v>
      </c>
      <c r="D11" s="22">
        <v>5</v>
      </c>
      <c r="E11" s="51">
        <f>AVERAGE('3. Raw Data'!H7:H11)</f>
        <v>240.81103481225728</v>
      </c>
      <c r="F11" s="24">
        <f>STDEV('3. Raw Data'!H7:H11)</f>
        <v>1.1249048047334598</v>
      </c>
      <c r="G11" s="24">
        <f t="shared" si="0"/>
        <v>0.46713175150402297</v>
      </c>
      <c r="H11" s="24">
        <f t="shared" si="1"/>
        <v>1.3967537974439721</v>
      </c>
      <c r="I11" s="24">
        <f>AVERAGE('3. Raw Data'!I7:I11)</f>
        <v>243.96546870763959</v>
      </c>
      <c r="J11" s="24">
        <f>AVERAGE('3. Raw Data'!J7:J11)</f>
        <v>190.69523394769971</v>
      </c>
      <c r="K11" s="24">
        <f>AVERAGE('3. Raw Data'!K7:K11)</f>
        <v>169.79367295913087</v>
      </c>
      <c r="L11" s="24">
        <f>AVERAGE('3. Raw Data'!L7:L11)</f>
        <v>170.09047311384529</v>
      </c>
      <c r="M11" s="24">
        <f>AVERAGE('3. Raw Data'!M7:M11)</f>
        <v>92.435783277524123</v>
      </c>
      <c r="N11" s="24">
        <f>AVERAGE('3. Raw Data'!N7:N11)</f>
        <v>41.631334705800803</v>
      </c>
      <c r="O11" s="24">
        <f>AVERAGE('3. Raw Data'!O7:O11)</f>
        <v>444.04800547968733</v>
      </c>
      <c r="P11" s="24">
        <f>AVERAGE('3. Raw Data'!R7:R11)</f>
        <v>10.026094967732073</v>
      </c>
      <c r="Q11" s="24">
        <f>AVERAGE('3. Raw Data'!S7:S11)</f>
        <v>2.7703691114159507E-2</v>
      </c>
      <c r="R11" s="24">
        <f>E11-E10</f>
        <v>-1.2083441138067315</v>
      </c>
      <c r="S11" s="52">
        <f>(E11-E10)/E10*100</f>
        <v>-0.49927576839864385</v>
      </c>
      <c r="T11" s="53">
        <f>TTEST('3. Raw Data'!H7:H11,'3. Raw Data'!H2:H6,2,3)</f>
        <v>9.4297778717529937E-2</v>
      </c>
      <c r="U11" s="49" t="str">
        <f t="shared" ref="U11:U48" si="3">IF(T11&lt;0.05,"yes","tie")</f>
        <v>tie</v>
      </c>
      <c r="V11" s="22" t="str">
        <f t="shared" si="2"/>
        <v>Excellent</v>
      </c>
    </row>
    <row r="12" spans="1:22" x14ac:dyDescent="0.25">
      <c r="A12" s="43">
        <v>3</v>
      </c>
      <c r="B12" s="13" t="s">
        <v>255</v>
      </c>
      <c r="C12" s="44" t="s">
        <v>362</v>
      </c>
      <c r="D12" s="14">
        <v>5</v>
      </c>
      <c r="E12" s="45">
        <f>AVERAGE('3. Raw Data'!H12:H16)</f>
        <v>239.28010125628833</v>
      </c>
      <c r="F12" s="16">
        <f>STDEV('3. Raw Data'!H12:H16)</f>
        <v>0.43901537774793681</v>
      </c>
      <c r="G12" s="16">
        <f t="shared" si="0"/>
        <v>0.18347341690469943</v>
      </c>
      <c r="H12" s="16">
        <f t="shared" si="1"/>
        <v>0.54510958920743902</v>
      </c>
      <c r="I12" s="16">
        <f>AVERAGE('3. Raw Data'!I12:I16)</f>
        <v>242.98054586903541</v>
      </c>
      <c r="J12" s="16">
        <f>AVERAGE('3. Raw Data'!J12:J16)</f>
        <v>188.2418456418344</v>
      </c>
      <c r="K12" s="16">
        <f>AVERAGE('3. Raw Data'!K12:K16)</f>
        <v>166.80873837008753</v>
      </c>
      <c r="L12" s="16">
        <f>AVERAGE('3. Raw Data'!L12:L16)</f>
        <v>167.10005803267805</v>
      </c>
      <c r="M12" s="16">
        <f>AVERAGE('3. Raw Data'!M12:M16)</f>
        <v>87.429829411245905</v>
      </c>
      <c r="N12" s="16">
        <f>AVERAGE('3. Raw Data'!N12:N16)</f>
        <v>41.269428329407368</v>
      </c>
      <c r="O12" s="16">
        <f>AVERAGE('3. Raw Data'!O12:O16)</f>
        <v>404.45647608076359</v>
      </c>
      <c r="P12" s="16">
        <f>AVERAGE('3. Raw Data'!R12:R16)</f>
        <v>10.302964447702998</v>
      </c>
      <c r="Q12" s="16">
        <f>AVERAGE('3. Raw Data'!S12:S16)</f>
        <v>2.0899767422820775E-2</v>
      </c>
      <c r="R12" s="16">
        <f>E12-E10</f>
        <v>-2.7392776697756744</v>
      </c>
      <c r="S12" s="46">
        <f>(E12-E10)/E10*100</f>
        <v>-1.1318422854942178</v>
      </c>
      <c r="T12" s="54">
        <f>TTEST('3. Raw Data'!H12:H16,'3. Raw Data'!H2:H6,2,3)</f>
        <v>6.8455979942248584E-4</v>
      </c>
      <c r="U12" s="43" t="str">
        <f t="shared" si="3"/>
        <v>yes</v>
      </c>
      <c r="V12" s="14" t="str">
        <f t="shared" si="2"/>
        <v>Excellent</v>
      </c>
    </row>
    <row r="13" spans="1:22" x14ac:dyDescent="0.25">
      <c r="A13" s="49">
        <v>4</v>
      </c>
      <c r="B13" s="21" t="s">
        <v>257</v>
      </c>
      <c r="C13" s="50" t="s">
        <v>362</v>
      </c>
      <c r="D13" s="22">
        <v>5</v>
      </c>
      <c r="E13" s="51">
        <f>AVERAGE('3. Raw Data'!H17:H21)</f>
        <v>239.03041825760155</v>
      </c>
      <c r="F13" s="24">
        <f>STDEV('3. Raw Data'!H17:H21)</f>
        <v>3.189734571011666</v>
      </c>
      <c r="G13" s="24">
        <f t="shared" si="0"/>
        <v>1.3344471361691337</v>
      </c>
      <c r="H13" s="24">
        <f t="shared" si="1"/>
        <v>3.9605785806511133</v>
      </c>
      <c r="I13" s="24">
        <f>AVERAGE('3. Raw Data'!I17:I21)</f>
        <v>243.18906892823151</v>
      </c>
      <c r="J13" s="24">
        <f>AVERAGE('3. Raw Data'!J17:J21)</f>
        <v>185.69308263819482</v>
      </c>
      <c r="K13" s="24">
        <f>AVERAGE('3. Raw Data'!K17:K21)</f>
        <v>150.28907895437391</v>
      </c>
      <c r="L13" s="24">
        <f>AVERAGE('3. Raw Data'!L17:L21)</f>
        <v>153.74555569756666</v>
      </c>
      <c r="M13" s="24">
        <f>AVERAGE('3. Raw Data'!M17:M21)</f>
        <v>78.829476507786737</v>
      </c>
      <c r="N13" s="24">
        <f>AVERAGE('3. Raw Data'!N17:N21)</f>
        <v>40.681634317692001</v>
      </c>
      <c r="O13" s="24">
        <f>AVERAGE('3. Raw Data'!O17:O21)</f>
        <v>388.98189425997879</v>
      </c>
      <c r="P13" s="24">
        <f>AVERAGE('3. Raw Data'!R17:R21)</f>
        <v>11.183230730113666</v>
      </c>
      <c r="Q13" s="24">
        <f>AVERAGE('3. Raw Data'!S17:S21)</f>
        <v>5.7109887816277183E-2</v>
      </c>
      <c r="R13" s="24">
        <f>E13-E10</f>
        <v>-2.9889606684624539</v>
      </c>
      <c r="S13" s="52">
        <f>(E13-E10)/E10*100</f>
        <v>-1.235008816949146</v>
      </c>
      <c r="T13" s="53">
        <f>TTEST('3. Raw Data'!H17:H21,'3. Raw Data'!H2:H6,2,3)</f>
        <v>0.10417032718708279</v>
      </c>
      <c r="U13" s="49" t="str">
        <f t="shared" si="3"/>
        <v>tie</v>
      </c>
      <c r="V13" s="22" t="str">
        <f t="shared" si="2"/>
        <v>Good</v>
      </c>
    </row>
    <row r="14" spans="1:22" x14ac:dyDescent="0.25">
      <c r="A14" s="43">
        <v>5</v>
      </c>
      <c r="B14" s="13" t="s">
        <v>259</v>
      </c>
      <c r="C14" s="44" t="s">
        <v>362</v>
      </c>
      <c r="D14" s="14">
        <v>5</v>
      </c>
      <c r="E14" s="45">
        <f>AVERAGE('3. Raw Data'!H22:H26)</f>
        <v>238.60991382224566</v>
      </c>
      <c r="F14" s="16">
        <f>STDEV('3. Raw Data'!H22:H26)</f>
        <v>0.8326114926325372</v>
      </c>
      <c r="G14" s="16">
        <f t="shared" si="0"/>
        <v>0.34894253943396403</v>
      </c>
      <c r="H14" s="16">
        <f t="shared" si="1"/>
        <v>1.03382371489252</v>
      </c>
      <c r="I14" s="16">
        <f>AVERAGE('3. Raw Data'!I22:I26)</f>
        <v>242.39850995601927</v>
      </c>
      <c r="J14" s="16">
        <f>AVERAGE('3. Raw Data'!J22:J26)</f>
        <v>191.15591720832728</v>
      </c>
      <c r="K14" s="16">
        <f>AVERAGE('3. Raw Data'!K22:K26)</f>
        <v>170.36293571805695</v>
      </c>
      <c r="L14" s="16">
        <f>AVERAGE('3. Raw Data'!L22:L26)</f>
        <v>172.49630528410427</v>
      </c>
      <c r="M14" s="16">
        <f>AVERAGE('3. Raw Data'!M22:M26)</f>
        <v>96.801544248380949</v>
      </c>
      <c r="N14" s="16">
        <f>AVERAGE('3. Raw Data'!N22:N26)</f>
        <v>40.501650916693393</v>
      </c>
      <c r="O14" s="16">
        <f>AVERAGE('3. Raw Data'!O22:O26)</f>
        <v>424.11564627099295</v>
      </c>
      <c r="P14" s="16">
        <f>AVERAGE('3. Raw Data'!R22:R26)</f>
        <v>9.603511544404407</v>
      </c>
      <c r="Q14" s="16">
        <f>AVERAGE('3. Raw Data'!S22:S26)</f>
        <v>1.8168409676292491E-2</v>
      </c>
      <c r="R14" s="16">
        <f>E14-E10</f>
        <v>-3.4094651038183486</v>
      </c>
      <c r="S14" s="46">
        <f>(E14-E10)/E10*100</f>
        <v>-1.408757066871049</v>
      </c>
      <c r="T14" s="54">
        <f>TTEST('3. Raw Data'!H22:H26,'3. Raw Data'!H2:H6,2,3)</f>
        <v>2.0734855633912101E-4</v>
      </c>
      <c r="U14" s="43" t="str">
        <f t="shared" si="3"/>
        <v>yes</v>
      </c>
      <c r="V14" s="14" t="str">
        <f t="shared" si="2"/>
        <v>Excellent</v>
      </c>
    </row>
    <row r="15" spans="1:22" x14ac:dyDescent="0.25">
      <c r="A15" s="49">
        <v>6</v>
      </c>
      <c r="B15" s="21" t="s">
        <v>261</v>
      </c>
      <c r="C15" s="50" t="s">
        <v>362</v>
      </c>
      <c r="D15" s="22">
        <v>5</v>
      </c>
      <c r="E15" s="51">
        <f>AVERAGE('3. Raw Data'!H27:H31)</f>
        <v>237.9338177433311</v>
      </c>
      <c r="F15" s="24">
        <f>STDEV('3. Raw Data'!H27:H31)</f>
        <v>5.1260420602242176</v>
      </c>
      <c r="G15" s="24">
        <f t="shared" si="0"/>
        <v>2.1543982729491136</v>
      </c>
      <c r="H15" s="24">
        <f t="shared" si="1"/>
        <v>6.3648218794586624</v>
      </c>
      <c r="I15" s="24">
        <f>AVERAGE('3. Raw Data'!I27:I31)</f>
        <v>241.73515660315417</v>
      </c>
      <c r="J15" s="24">
        <f>AVERAGE('3. Raw Data'!J27:J31)</f>
        <v>187.88238760919589</v>
      </c>
      <c r="K15" s="24">
        <f>AVERAGE('3. Raw Data'!K27:K31)</f>
        <v>166.44739016049914</v>
      </c>
      <c r="L15" s="24">
        <f>AVERAGE('3. Raw Data'!L27:L31)</f>
        <v>168.44024085516773</v>
      </c>
      <c r="M15" s="24">
        <f>AVERAGE('3. Raw Data'!M27:M31)</f>
        <v>96.689540704725502</v>
      </c>
      <c r="N15" s="24">
        <f>AVERAGE('3. Raw Data'!N27:N31)</f>
        <v>42.085041755480333</v>
      </c>
      <c r="O15" s="24">
        <f>AVERAGE('3. Raw Data'!O27:O31)</f>
        <v>443.25370019105884</v>
      </c>
      <c r="P15" s="24">
        <f>AVERAGE('3. Raw Data'!R27:R31)</f>
        <v>9.9330217928829008</v>
      </c>
      <c r="Q15" s="24">
        <f>AVERAGE('3. Raw Data'!S27:S31)</f>
        <v>1.5403052979572087E-2</v>
      </c>
      <c r="R15" s="24">
        <f>E15-E10</f>
        <v>-4.0855611827329028</v>
      </c>
      <c r="S15" s="52">
        <f>(E15-E10)/E10*100</f>
        <v>-1.688113241535516</v>
      </c>
      <c r="T15" s="53">
        <f>TTEST('3. Raw Data'!H27:H31,'3. Raw Data'!H2:H6,2,3)</f>
        <v>0.1497966073521794</v>
      </c>
      <c r="U15" s="49" t="str">
        <f t="shared" si="3"/>
        <v>tie</v>
      </c>
      <c r="V15" s="22" t="str">
        <f t="shared" si="2"/>
        <v>Fair</v>
      </c>
    </row>
    <row r="16" spans="1:22" x14ac:dyDescent="0.25">
      <c r="A16" s="43">
        <v>7</v>
      </c>
      <c r="B16" s="13" t="s">
        <v>263</v>
      </c>
      <c r="C16" s="44" t="s">
        <v>362</v>
      </c>
      <c r="D16" s="14">
        <v>5</v>
      </c>
      <c r="E16" s="45">
        <f>AVERAGE('3. Raw Data'!H32:H36)</f>
        <v>237.23654741547944</v>
      </c>
      <c r="F16" s="16">
        <f>STDEV('3. Raw Data'!H32:H36)</f>
        <v>0.87640720045493359</v>
      </c>
      <c r="G16" s="16">
        <f t="shared" si="0"/>
        <v>0.36942334981804281</v>
      </c>
      <c r="H16" s="16">
        <f t="shared" si="1"/>
        <v>1.0882032685714407</v>
      </c>
      <c r="I16" s="16">
        <f>AVERAGE('3. Raw Data'!I32:I36)</f>
        <v>241.34604563277358</v>
      </c>
      <c r="J16" s="16">
        <f>AVERAGE('3. Raw Data'!J32:J36)</f>
        <v>187.49343469478148</v>
      </c>
      <c r="K16" s="16">
        <f>AVERAGE('3. Raw Data'!K32:K36)</f>
        <v>163.64861713401265</v>
      </c>
      <c r="L16" s="16">
        <f>AVERAGE('3. Raw Data'!L32:L36)</f>
        <v>166.3598718183348</v>
      </c>
      <c r="M16" s="16">
        <f>AVERAGE('3. Raw Data'!M32:M36)</f>
        <v>88.816007820080813</v>
      </c>
      <c r="N16" s="16">
        <f>AVERAGE('3. Raw Data'!N32:N36)</f>
        <v>42.629984295165698</v>
      </c>
      <c r="O16" s="16">
        <f>AVERAGE('3. Raw Data'!O32:O36)</f>
        <v>409.09491107874015</v>
      </c>
      <c r="P16" s="16">
        <f>AVERAGE('3. Raw Data'!R32:R36)</f>
        <v>10.151706057681221</v>
      </c>
      <c r="Q16" s="16">
        <f>AVERAGE('3. Raw Data'!S32:S36)</f>
        <v>1.9653878526658387E-2</v>
      </c>
      <c r="R16" s="16">
        <f>E16-E10</f>
        <v>-4.7828315105845718</v>
      </c>
      <c r="S16" s="46">
        <f>(E16-E10)/E10*100</f>
        <v>-1.9762184052400649</v>
      </c>
      <c r="T16" s="54">
        <f>TTEST('3. Raw Data'!H32:H36,'3. Raw Data'!H2:H6,2,3)</f>
        <v>2.2681885055497856E-5</v>
      </c>
      <c r="U16" s="43" t="str">
        <f t="shared" si="3"/>
        <v>yes</v>
      </c>
      <c r="V16" s="14" t="str">
        <f t="shared" si="2"/>
        <v>Excellent</v>
      </c>
    </row>
    <row r="17" spans="1:22" x14ac:dyDescent="0.25">
      <c r="A17" s="49">
        <v>8</v>
      </c>
      <c r="B17" s="21" t="s">
        <v>265</v>
      </c>
      <c r="C17" s="50" t="s">
        <v>362</v>
      </c>
      <c r="D17" s="22">
        <v>5</v>
      </c>
      <c r="E17" s="51">
        <f>AVERAGE('3. Raw Data'!H37:H41)</f>
        <v>236.74462401788395</v>
      </c>
      <c r="F17" s="24">
        <f>STDEV('3. Raw Data'!H37:H41)</f>
        <v>3.9418997385878125</v>
      </c>
      <c r="G17" s="24">
        <f t="shared" si="0"/>
        <v>1.6650429782473275</v>
      </c>
      <c r="H17" s="24">
        <f t="shared" si="1"/>
        <v>4.8945149899333158</v>
      </c>
      <c r="I17" s="24">
        <f>AVERAGE('3. Raw Data'!I37:I41)</f>
        <v>241.3219107252522</v>
      </c>
      <c r="J17" s="24">
        <f>AVERAGE('3. Raw Data'!J37:J41)</f>
        <v>179.84575876093129</v>
      </c>
      <c r="K17" s="24">
        <f>AVERAGE('3. Raw Data'!K37:K41)</f>
        <v>142.64201415058682</v>
      </c>
      <c r="L17" s="24">
        <f>AVERAGE('3. Raw Data'!L37:L41)</f>
        <v>147.49030596560607</v>
      </c>
      <c r="M17" s="24">
        <f>AVERAGE('3. Raw Data'!M37:M41)</f>
        <v>73.813243416237043</v>
      </c>
      <c r="N17" s="24">
        <f>AVERAGE('3. Raw Data'!N37:N41)</f>
        <v>37.26594394140141</v>
      </c>
      <c r="O17" s="24">
        <f>AVERAGE('3. Raw Data'!O37:O41)</f>
        <v>424.14145385467793</v>
      </c>
      <c r="P17" s="24">
        <f>AVERAGE('3. Raw Data'!R37:R41)</f>
        <v>12.005698685653922</v>
      </c>
      <c r="Q17" s="24">
        <f>AVERAGE('3. Raw Data'!S37:S41)</f>
        <v>5.4989316866509666E-2</v>
      </c>
      <c r="R17" s="24">
        <f>E17-E10</f>
        <v>-5.2747549081800571</v>
      </c>
      <c r="S17" s="52">
        <f>(E17-E10)/E10*100</f>
        <v>-2.1794762599533297</v>
      </c>
      <c r="T17" s="53">
        <f>TTEST('3. Raw Data'!H37:H41,'3. Raw Data'!H2:H6,2,3)</f>
        <v>3.8616532566483223E-2</v>
      </c>
      <c r="U17" s="49" t="str">
        <f t="shared" si="3"/>
        <v>yes</v>
      </c>
      <c r="V17" s="22" t="str">
        <f t="shared" si="2"/>
        <v>Good</v>
      </c>
    </row>
    <row r="18" spans="1:22" x14ac:dyDescent="0.25">
      <c r="A18" s="43">
        <v>9</v>
      </c>
      <c r="B18" s="13" t="s">
        <v>267</v>
      </c>
      <c r="C18" s="44" t="s">
        <v>362</v>
      </c>
      <c r="D18" s="14">
        <v>5</v>
      </c>
      <c r="E18" s="45">
        <f>AVERAGE('3. Raw Data'!H42:H46)</f>
        <v>236.63058612757476</v>
      </c>
      <c r="F18" s="16">
        <f>STDEV('3. Raw Data'!H42:H46)</f>
        <v>4.8998958266313153</v>
      </c>
      <c r="G18" s="16">
        <f t="shared" si="0"/>
        <v>2.0706942018009591</v>
      </c>
      <c r="H18" s="16">
        <f t="shared" si="1"/>
        <v>6.0840242428769766</v>
      </c>
      <c r="I18" s="16">
        <f>AVERAGE('3. Raw Data'!I42:I46)</f>
        <v>239.95978042491183</v>
      </c>
      <c r="J18" s="16">
        <f>AVERAGE('3. Raw Data'!J42:J46)</f>
        <v>189.46507201290484</v>
      </c>
      <c r="K18" s="16">
        <f>AVERAGE('3. Raw Data'!K42:K46)</f>
        <v>169.26682641550116</v>
      </c>
      <c r="L18" s="16">
        <f>AVERAGE('3. Raw Data'!L42:L46)</f>
        <v>170.36305558719511</v>
      </c>
      <c r="M18" s="16">
        <f>AVERAGE('3. Raw Data'!M42:M46)</f>
        <v>100.57644769425895</v>
      </c>
      <c r="N18" s="16">
        <f>AVERAGE('3. Raw Data'!N42:N46)</f>
        <v>40.97250393579391</v>
      </c>
      <c r="O18" s="16">
        <f>AVERAGE('3. Raw Data'!O42:O46)</f>
        <v>441.71731551562908</v>
      </c>
      <c r="P18" s="16">
        <f>AVERAGE('3. Raw Data'!R42:R46)</f>
        <v>9.8052149281921466</v>
      </c>
      <c r="Q18" s="16">
        <f>AVERAGE('3. Raw Data'!S42:S46)</f>
        <v>1.2629624340705673E-2</v>
      </c>
      <c r="R18" s="16">
        <f>E18-E10</f>
        <v>-5.3887927984892485</v>
      </c>
      <c r="S18" s="46">
        <f>(E18-E10)/E10*100</f>
        <v>-2.226595581891607</v>
      </c>
      <c r="T18" s="54">
        <f>TTEST('3. Raw Data'!H42:H46,'3. Raw Data'!H2:H6,2,3)</f>
        <v>6.8922310435135969E-2</v>
      </c>
      <c r="U18" s="43" t="str">
        <f t="shared" si="3"/>
        <v>tie</v>
      </c>
      <c r="V18" s="14" t="str">
        <f t="shared" si="2"/>
        <v>Fair</v>
      </c>
    </row>
    <row r="19" spans="1:22" x14ac:dyDescent="0.25">
      <c r="A19" s="49">
        <v>10</v>
      </c>
      <c r="B19" s="21" t="s">
        <v>269</v>
      </c>
      <c r="C19" s="50" t="s">
        <v>362</v>
      </c>
      <c r="D19" s="22">
        <v>5</v>
      </c>
      <c r="E19" s="51">
        <f>AVERAGE('3. Raw Data'!H47:H51)</f>
        <v>236.39090050769147</v>
      </c>
      <c r="F19" s="24">
        <f>STDEV('3. Raw Data'!H47:H51)</f>
        <v>2.5878742477749226</v>
      </c>
      <c r="G19" s="24">
        <f t="shared" si="0"/>
        <v>1.0947435972438035</v>
      </c>
      <c r="H19" s="24">
        <f t="shared" si="1"/>
        <v>3.2132702853407689</v>
      </c>
      <c r="I19" s="24">
        <f>AVERAGE('3. Raw Data'!I47:I51)</f>
        <v>240.57105701270083</v>
      </c>
      <c r="J19" s="24">
        <f>AVERAGE('3. Raw Data'!J47:J51)</f>
        <v>185.27753452068615</v>
      </c>
      <c r="K19" s="24">
        <f>AVERAGE('3. Raw Data'!K47:K51)</f>
        <v>162.83044123469503</v>
      </c>
      <c r="L19" s="24">
        <f>AVERAGE('3. Raw Data'!L47:L51)</f>
        <v>164.04515988729025</v>
      </c>
      <c r="M19" s="24">
        <f>AVERAGE('3. Raw Data'!M47:M51)</f>
        <v>88.574927612735479</v>
      </c>
      <c r="N19" s="24">
        <f>AVERAGE('3. Raw Data'!N47:N51)</f>
        <v>43.133747472769798</v>
      </c>
      <c r="O19" s="24">
        <f>AVERAGE('3. Raw Data'!O47:O51)</f>
        <v>428.28952156867274</v>
      </c>
      <c r="P19" s="24">
        <f>AVERAGE('3. Raw Data'!R47:R51)</f>
        <v>10.353332384948668</v>
      </c>
      <c r="Q19" s="24">
        <f>AVERAGE('3. Raw Data'!S47:S51)</f>
        <v>2.5367148512154027E-2</v>
      </c>
      <c r="R19" s="24">
        <f>E19-E10</f>
        <v>-5.6284784183725378</v>
      </c>
      <c r="S19" s="52">
        <f>(E19-E10)/E10*100</f>
        <v>-2.3256312958690866</v>
      </c>
      <c r="T19" s="53">
        <f>TTEST('3. Raw Data'!H47:H51,'3. Raw Data'!H2:H6,2,3)</f>
        <v>6.1761423906752638E-3</v>
      </c>
      <c r="U19" s="49" t="str">
        <f t="shared" si="3"/>
        <v>yes</v>
      </c>
      <c r="V19" s="22" t="str">
        <f t="shared" si="2"/>
        <v>Good</v>
      </c>
    </row>
    <row r="20" spans="1:22" x14ac:dyDescent="0.25">
      <c r="A20" s="43">
        <v>11</v>
      </c>
      <c r="B20" s="13" t="s">
        <v>271</v>
      </c>
      <c r="C20" s="44" t="s">
        <v>362</v>
      </c>
      <c r="D20" s="14">
        <v>5</v>
      </c>
      <c r="E20" s="45">
        <f>AVERAGE('3. Raw Data'!H52:H56)</f>
        <v>235.32780132712188</v>
      </c>
      <c r="F20" s="16">
        <f>STDEV('3. Raw Data'!H52:H56)</f>
        <v>4.3645691958490573</v>
      </c>
      <c r="G20" s="16">
        <f t="shared" si="0"/>
        <v>1.8546764008481962</v>
      </c>
      <c r="H20" s="16">
        <f t="shared" si="1"/>
        <v>5.4193284381549285</v>
      </c>
      <c r="I20" s="16">
        <f>AVERAGE('3. Raw Data'!I52:I56)</f>
        <v>238.53305458607093</v>
      </c>
      <c r="J20" s="16">
        <f>AVERAGE('3. Raw Data'!J52:J56)</f>
        <v>188.01592673546739</v>
      </c>
      <c r="K20" s="16">
        <f>AVERAGE('3. Raw Data'!K52:K56)</f>
        <v>167.1059474772988</v>
      </c>
      <c r="L20" s="16">
        <f>AVERAGE('3. Raw Data'!L52:L56)</f>
        <v>168.21305926169373</v>
      </c>
      <c r="M20" s="16">
        <f>AVERAGE('3. Raw Data'!M52:M56)</f>
        <v>93.661290533759072</v>
      </c>
      <c r="N20" s="16">
        <f>AVERAGE('3. Raw Data'!N52:N56)</f>
        <v>40.301962008781018</v>
      </c>
      <c r="O20" s="16">
        <f>AVERAGE('3. Raw Data'!O52:O56)</f>
        <v>410.12368793867563</v>
      </c>
      <c r="P20" s="16">
        <f>AVERAGE('3. Raw Data'!R52:R56)</f>
        <v>10.079241116846635</v>
      </c>
      <c r="Q20" s="16">
        <f>AVERAGE('3. Raw Data'!S52:S56)</f>
        <v>1.7061306966685012E-2</v>
      </c>
      <c r="R20" s="16">
        <f>E20-E10</f>
        <v>-6.691577598942132</v>
      </c>
      <c r="S20" s="46">
        <f>(E20-E10)/E10*100</f>
        <v>-2.7648933026087894</v>
      </c>
      <c r="T20" s="54">
        <f>TTEST('3. Raw Data'!H52:H56,'3. Raw Data'!H2:H6,2,3)</f>
        <v>2.518867478675204E-2</v>
      </c>
      <c r="U20" s="43" t="str">
        <f t="shared" si="3"/>
        <v>yes</v>
      </c>
      <c r="V20" s="14" t="str">
        <f t="shared" si="2"/>
        <v>Good</v>
      </c>
    </row>
    <row r="21" spans="1:22" x14ac:dyDescent="0.25">
      <c r="A21" s="49">
        <v>12</v>
      </c>
      <c r="B21" s="21" t="s">
        <v>273</v>
      </c>
      <c r="C21" s="50" t="s">
        <v>362</v>
      </c>
      <c r="D21" s="22">
        <v>5</v>
      </c>
      <c r="E21" s="51">
        <f>AVERAGE('3. Raw Data'!H57:H61)</f>
        <v>234.922477787974</v>
      </c>
      <c r="F21" s="24">
        <f>STDEV('3. Raw Data'!H57:H61)</f>
        <v>4.1012522312712703</v>
      </c>
      <c r="G21" s="24">
        <f t="shared" si="0"/>
        <v>1.7457896195751852</v>
      </c>
      <c r="H21" s="24">
        <f t="shared" si="1"/>
        <v>5.0923772431223941</v>
      </c>
      <c r="I21" s="24">
        <f>AVERAGE('3. Raw Data'!I57:I61)</f>
        <v>238.80134401633472</v>
      </c>
      <c r="J21" s="24">
        <f>AVERAGE('3. Raw Data'!J57:J61)</f>
        <v>183.20849409548379</v>
      </c>
      <c r="K21" s="24">
        <f>AVERAGE('3. Raw Data'!K57:K61)</f>
        <v>161.96029261924895</v>
      </c>
      <c r="L21" s="24">
        <f>AVERAGE('3. Raw Data'!L57:L61)</f>
        <v>162.37186573712276</v>
      </c>
      <c r="M21" s="24">
        <f>AVERAGE('3. Raw Data'!M57:M61)</f>
        <v>87.065409985651542</v>
      </c>
      <c r="N21" s="24">
        <f>AVERAGE('3. Raw Data'!N57:N61)</f>
        <v>40.262212300380313</v>
      </c>
      <c r="O21" s="24">
        <f>AVERAGE('3. Raw Data'!O57:O61)</f>
        <v>371.93747348771433</v>
      </c>
      <c r="P21" s="24">
        <f>AVERAGE('3. Raw Data'!R57:R61)</f>
        <v>11.125118812030385</v>
      </c>
      <c r="Q21" s="24">
        <f>AVERAGE('3. Raw Data'!S57:S61)</f>
        <v>1.989453951423056E-2</v>
      </c>
      <c r="R21" s="24">
        <f>E21-E10</f>
        <v>-7.0969011380900042</v>
      </c>
      <c r="S21" s="52">
        <f>(E21-E10)/E10*100</f>
        <v>-2.9323689572222564</v>
      </c>
      <c r="T21" s="53">
        <f>TTEST('3. Raw Data'!H57:H61,'3. Raw Data'!H2:H6,2,3)</f>
        <v>1.6587534455822669E-2</v>
      </c>
      <c r="U21" s="49" t="str">
        <f t="shared" si="3"/>
        <v>yes</v>
      </c>
      <c r="V21" s="22" t="str">
        <f t="shared" si="2"/>
        <v>Good</v>
      </c>
    </row>
    <row r="22" spans="1:22" x14ac:dyDescent="0.25">
      <c r="A22" s="43">
        <v>13</v>
      </c>
      <c r="B22" s="13" t="s">
        <v>275</v>
      </c>
      <c r="C22" s="44" t="s">
        <v>362</v>
      </c>
      <c r="D22" s="14">
        <v>5</v>
      </c>
      <c r="E22" s="45">
        <f>AVERAGE('3. Raw Data'!H62:H66)</f>
        <v>233.13344563550331</v>
      </c>
      <c r="F22" s="16">
        <f>STDEV('3. Raw Data'!H62:H66)</f>
        <v>4.5383494701418039</v>
      </c>
      <c r="G22" s="16">
        <f t="shared" si="0"/>
        <v>1.9466745570420507</v>
      </c>
      <c r="H22" s="16">
        <f t="shared" si="1"/>
        <v>5.6351051483422072</v>
      </c>
      <c r="I22" s="16">
        <f>AVERAGE('3. Raw Data'!I62:I66)</f>
        <v>237.52014993869685</v>
      </c>
      <c r="J22" s="16">
        <f>AVERAGE('3. Raw Data'!J62:J66)</f>
        <v>178.45514035390823</v>
      </c>
      <c r="K22" s="16">
        <f>AVERAGE('3. Raw Data'!K62:K66)</f>
        <v>152.98280438395312</v>
      </c>
      <c r="L22" s="16">
        <f>AVERAGE('3. Raw Data'!L62:L66)</f>
        <v>153.3653713758095</v>
      </c>
      <c r="M22" s="16">
        <f>AVERAGE('3. Raw Data'!M62:M66)</f>
        <v>69.928380669345856</v>
      </c>
      <c r="N22" s="16">
        <f>AVERAGE('3. Raw Data'!N62:N66)</f>
        <v>38.795006700446613</v>
      </c>
      <c r="O22" s="16">
        <f>AVERAGE('3. Raw Data'!O62:O66)</f>
        <v>361.56680523127733</v>
      </c>
      <c r="P22" s="16">
        <f>AVERAGE('3. Raw Data'!R62:R66)</f>
        <v>11.683650068809012</v>
      </c>
      <c r="Q22" s="16">
        <f>AVERAGE('3. Raw Data'!S62:S66)</f>
        <v>3.4558718669879092E-2</v>
      </c>
      <c r="R22" s="16">
        <f>E22-E10</f>
        <v>-8.8859332905607005</v>
      </c>
      <c r="S22" s="46">
        <f>(E22-E10)/E10*100</f>
        <v>-3.6715792470797632</v>
      </c>
      <c r="T22" s="54">
        <f>TTEST('3. Raw Data'!H62:H66,'3. Raw Data'!H2:H6,2,3)</f>
        <v>1.0877735644933471E-2</v>
      </c>
      <c r="U22" s="43" t="str">
        <f t="shared" si="3"/>
        <v>yes</v>
      </c>
      <c r="V22" s="14" t="str">
        <f t="shared" si="2"/>
        <v>Good</v>
      </c>
    </row>
    <row r="23" spans="1:22" x14ac:dyDescent="0.25">
      <c r="A23" s="49">
        <v>14</v>
      </c>
      <c r="B23" s="21" t="s">
        <v>277</v>
      </c>
      <c r="C23" s="50" t="s">
        <v>362</v>
      </c>
      <c r="D23" s="22">
        <v>5</v>
      </c>
      <c r="E23" s="51">
        <f>AVERAGE('3. Raw Data'!H67:H71)</f>
        <v>232.8543586152376</v>
      </c>
      <c r="F23" s="24">
        <f>STDEV('3. Raw Data'!H67:H71)</f>
        <v>4.0578641052842732</v>
      </c>
      <c r="G23" s="24">
        <f t="shared" si="0"/>
        <v>1.7426618635854614</v>
      </c>
      <c r="H23" s="24">
        <f t="shared" si="1"/>
        <v>5.0385037691348105</v>
      </c>
      <c r="I23" s="24">
        <f>AVERAGE('3. Raw Data'!I67:I71)</f>
        <v>237.58109429090729</v>
      </c>
      <c r="J23" s="24">
        <f>AVERAGE('3. Raw Data'!J67:J71)</f>
        <v>177.47691900219962</v>
      </c>
      <c r="K23" s="24">
        <f>AVERAGE('3. Raw Data'!K67:K71)</f>
        <v>128.36075637283463</v>
      </c>
      <c r="L23" s="24">
        <f>AVERAGE('3. Raw Data'!L67:L71)</f>
        <v>135.62530985914606</v>
      </c>
      <c r="M23" s="24">
        <f>AVERAGE('3. Raw Data'!M67:M71)</f>
        <v>50.441773938910067</v>
      </c>
      <c r="N23" s="24">
        <f>AVERAGE('3. Raw Data'!N67:N71)</f>
        <v>31.741866390964685</v>
      </c>
      <c r="O23" s="24">
        <f>AVERAGE('3. Raw Data'!O67:O71)</f>
        <v>439.83506910838804</v>
      </c>
      <c r="P23" s="24">
        <f>AVERAGE('3. Raw Data'!R67:R71)</f>
        <v>12.947819688818146</v>
      </c>
      <c r="Q23" s="24">
        <f>AVERAGE('3. Raw Data'!S67:S71)</f>
        <v>7.1340714939339425E-2</v>
      </c>
      <c r="R23" s="24">
        <f>E23-E10</f>
        <v>-9.1650203108264066</v>
      </c>
      <c r="S23" s="52">
        <f>(E23-E10)/E10*100</f>
        <v>-3.7868952277686345</v>
      </c>
      <c r="T23" s="53">
        <f>TTEST('3. Raw Data'!H67:H71,'3. Raw Data'!H2:H6,2,3)</f>
        <v>6.265616180443908E-3</v>
      </c>
      <c r="U23" s="49" t="str">
        <f t="shared" si="3"/>
        <v>yes</v>
      </c>
      <c r="V23" s="22" t="str">
        <f t="shared" si="2"/>
        <v>Good</v>
      </c>
    </row>
    <row r="24" spans="1:22" x14ac:dyDescent="0.25">
      <c r="A24" s="43">
        <v>15</v>
      </c>
      <c r="B24" s="13" t="s">
        <v>279</v>
      </c>
      <c r="C24" s="44" t="s">
        <v>362</v>
      </c>
      <c r="D24" s="14">
        <v>5</v>
      </c>
      <c r="E24" s="45">
        <f>AVERAGE('3. Raw Data'!H72:H76)</f>
        <v>231.27970787898215</v>
      </c>
      <c r="F24" s="16">
        <f>STDEV('3. Raw Data'!H72:H76)</f>
        <v>0.73806796175014999</v>
      </c>
      <c r="G24" s="16">
        <f t="shared" si="0"/>
        <v>0.31912352731626004</v>
      </c>
      <c r="H24" s="16">
        <f t="shared" si="1"/>
        <v>0.91643241633279415</v>
      </c>
      <c r="I24" s="16">
        <f>AVERAGE('3. Raw Data'!I72:I76)</f>
        <v>234.31962618539259</v>
      </c>
      <c r="J24" s="16">
        <f>AVERAGE('3. Raw Data'!J72:J76)</f>
        <v>178.72501432323705</v>
      </c>
      <c r="K24" s="16">
        <f>AVERAGE('3. Raw Data'!K72:K76)</f>
        <v>158.6005809575658</v>
      </c>
      <c r="L24" s="16">
        <f>AVERAGE('3. Raw Data'!L72:L76)</f>
        <v>158.11645050666095</v>
      </c>
      <c r="M24" s="16">
        <f>AVERAGE('3. Raw Data'!M72:M76)</f>
        <v>86.090037378356257</v>
      </c>
      <c r="N24" s="16">
        <f>AVERAGE('3. Raw Data'!N72:N76)</f>
        <v>42.242147298237569</v>
      </c>
      <c r="O24" s="16">
        <f>AVERAGE('3. Raw Data'!O72:O76)</f>
        <v>409.86668150071921</v>
      </c>
      <c r="P24" s="16">
        <f>AVERAGE('3. Raw Data'!R72:R76)</f>
        <v>11.713901436915499</v>
      </c>
      <c r="Q24" s="16">
        <f>AVERAGE('3. Raw Data'!S72:S76)</f>
        <v>2.736804077037765E-2</v>
      </c>
      <c r="R24" s="16">
        <f>E24-E10</f>
        <v>-10.739671047081856</v>
      </c>
      <c r="S24" s="46">
        <f>(E24-E10)/E10*100</f>
        <v>-4.4375252489028103</v>
      </c>
      <c r="T24" s="54">
        <f>TTEST('3. Raw Data'!H72:H76,'3. Raw Data'!H2:H6,2,3)</f>
        <v>3.1227675883123995E-8</v>
      </c>
      <c r="U24" s="43" t="str">
        <f t="shared" si="3"/>
        <v>yes</v>
      </c>
      <c r="V24" s="14" t="str">
        <f t="shared" si="2"/>
        <v>Excellent</v>
      </c>
    </row>
    <row r="25" spans="1:22" x14ac:dyDescent="0.25">
      <c r="A25" s="49">
        <v>16</v>
      </c>
      <c r="B25" s="21" t="s">
        <v>281</v>
      </c>
      <c r="C25" s="50" t="s">
        <v>362</v>
      </c>
      <c r="D25" s="22">
        <v>5</v>
      </c>
      <c r="E25" s="51">
        <f>AVERAGE('3. Raw Data'!H77:H81)</f>
        <v>230.79199370602714</v>
      </c>
      <c r="F25" s="24">
        <f>STDEV('3. Raw Data'!H77:H81)</f>
        <v>4.6335091020527566</v>
      </c>
      <c r="G25" s="24">
        <f t="shared" si="0"/>
        <v>2.0076559102629532</v>
      </c>
      <c r="H25" s="24">
        <f t="shared" si="1"/>
        <v>5.7532614373683586</v>
      </c>
      <c r="I25" s="24">
        <f>AVERAGE('3. Raw Data'!I77:I81)</f>
        <v>234.36423503396637</v>
      </c>
      <c r="J25" s="24">
        <f>AVERAGE('3. Raw Data'!J77:J81)</f>
        <v>178.69031837079399</v>
      </c>
      <c r="K25" s="24">
        <f>AVERAGE('3. Raw Data'!K77:K81)</f>
        <v>156.00136751819622</v>
      </c>
      <c r="L25" s="24">
        <f>AVERAGE('3. Raw Data'!L77:L81)</f>
        <v>156.72327423731036</v>
      </c>
      <c r="M25" s="24">
        <f>AVERAGE('3. Raw Data'!M77:M81)</f>
        <v>83.019994170374915</v>
      </c>
      <c r="N25" s="24">
        <f>AVERAGE('3. Raw Data'!N77:N81)</f>
        <v>41.04862390941652</v>
      </c>
      <c r="O25" s="24">
        <f>AVERAGE('3. Raw Data'!O77:O81)</f>
        <v>388.43584019076286</v>
      </c>
      <c r="P25" s="24">
        <f>AVERAGE('3. Raw Data'!R77:R81)</f>
        <v>10.968093119038484</v>
      </c>
      <c r="Q25" s="24">
        <f>AVERAGE('3. Raw Data'!S77:S81)</f>
        <v>2.4661286495729743E-2</v>
      </c>
      <c r="R25" s="24">
        <f>E25-E10</f>
        <v>-11.227385220036865</v>
      </c>
      <c r="S25" s="52">
        <f>(E25-E10)/E10*100</f>
        <v>-4.6390438938638825</v>
      </c>
      <c r="T25" s="53">
        <f>TTEST('3. Raw Data'!H77:H81,'3. Raw Data'!H2:H6,2,3)</f>
        <v>4.9608019485745738E-3</v>
      </c>
      <c r="U25" s="49" t="str">
        <f t="shared" si="3"/>
        <v>yes</v>
      </c>
      <c r="V25" s="22" t="str">
        <f t="shared" si="2"/>
        <v>Fair</v>
      </c>
    </row>
    <row r="26" spans="1:22" x14ac:dyDescent="0.25">
      <c r="A26" s="43">
        <v>17</v>
      </c>
      <c r="B26" s="13" t="s">
        <v>283</v>
      </c>
      <c r="C26" s="44" t="s">
        <v>362</v>
      </c>
      <c r="D26" s="14">
        <v>5</v>
      </c>
      <c r="E26" s="45">
        <f>AVERAGE('3. Raw Data'!H82:H86)</f>
        <v>230.4521088853308</v>
      </c>
      <c r="F26" s="16">
        <f>STDEV('3. Raw Data'!H82:H86)</f>
        <v>0.96552921130583502</v>
      </c>
      <c r="G26" s="16">
        <f t="shared" si="0"/>
        <v>0.41897174036548585</v>
      </c>
      <c r="H26" s="16">
        <f t="shared" si="1"/>
        <v>1.1988628608925302</v>
      </c>
      <c r="I26" s="16">
        <f>AVERAGE('3. Raw Data'!I82:I86)</f>
        <v>233.85130898839549</v>
      </c>
      <c r="J26" s="16">
        <f>AVERAGE('3. Raw Data'!J82:J86)</f>
        <v>176.87280445399963</v>
      </c>
      <c r="K26" s="16">
        <f>AVERAGE('3. Raw Data'!K82:K86)</f>
        <v>155.95637683157733</v>
      </c>
      <c r="L26" s="16">
        <f>AVERAGE('3. Raw Data'!L82:L86)</f>
        <v>153.18878363529529</v>
      </c>
      <c r="M26" s="16">
        <f>AVERAGE('3. Raw Data'!M82:M86)</f>
        <v>76.946361517212267</v>
      </c>
      <c r="N26" s="16">
        <f>AVERAGE('3. Raw Data'!N82:N86)</f>
        <v>34.965217493331984</v>
      </c>
      <c r="O26" s="16">
        <f>AVERAGE('3. Raw Data'!O82:O86)</f>
        <v>432.67383634079499</v>
      </c>
      <c r="P26" s="16">
        <f>AVERAGE('3. Raw Data'!R82:R86)</f>
        <v>12.392284204956692</v>
      </c>
      <c r="Q26" s="16">
        <f>AVERAGE('3. Raw Data'!S82:S86)</f>
        <v>1.8781095511424244E-2</v>
      </c>
      <c r="R26" s="16">
        <f>E26-E10</f>
        <v>-11.567270040733206</v>
      </c>
      <c r="S26" s="46">
        <f>(E26-E10)/E10*100</f>
        <v>-4.7794809209335929</v>
      </c>
      <c r="T26" s="54">
        <f>TTEST('3. Raw Data'!H82:H86,'3. Raw Data'!H2:H6,2,3)</f>
        <v>4.7468859912953959E-8</v>
      </c>
      <c r="U26" s="43" t="str">
        <f t="shared" si="3"/>
        <v>yes</v>
      </c>
      <c r="V26" s="14" t="str">
        <f t="shared" si="2"/>
        <v>Excellent</v>
      </c>
    </row>
    <row r="27" spans="1:22" x14ac:dyDescent="0.25">
      <c r="A27" s="49">
        <v>18</v>
      </c>
      <c r="B27" s="21" t="s">
        <v>285</v>
      </c>
      <c r="C27" s="50" t="s">
        <v>362</v>
      </c>
      <c r="D27" s="22">
        <v>5</v>
      </c>
      <c r="E27" s="51">
        <f>AVERAGE('3. Raw Data'!H87:H91)</f>
        <v>230.44443374544045</v>
      </c>
      <c r="F27" s="24">
        <f>STDEV('3. Raw Data'!H87:H91)</f>
        <v>0.4319465104349739</v>
      </c>
      <c r="G27" s="24">
        <f t="shared" si="0"/>
        <v>0.18744063521713086</v>
      </c>
      <c r="H27" s="24">
        <f t="shared" si="1"/>
        <v>0.53633243115685358</v>
      </c>
      <c r="I27" s="24">
        <f>AVERAGE('3. Raw Data'!I87:I91)</f>
        <v>233.19411769962335</v>
      </c>
      <c r="J27" s="24">
        <f>AVERAGE('3. Raw Data'!J87:J91)</f>
        <v>178.87811741798981</v>
      </c>
      <c r="K27" s="24">
        <f>AVERAGE('3. Raw Data'!K87:K91)</f>
        <v>158.6206271673455</v>
      </c>
      <c r="L27" s="24">
        <f>AVERAGE('3. Raw Data'!L87:L91)</f>
        <v>158.3429300067362</v>
      </c>
      <c r="M27" s="24">
        <f>AVERAGE('3. Raw Data'!M87:M91)</f>
        <v>83.45837716235485</v>
      </c>
      <c r="N27" s="24">
        <f>AVERAGE('3. Raw Data'!N87:N91)</f>
        <v>39.570323684672552</v>
      </c>
      <c r="O27" s="24">
        <f>AVERAGE('3. Raw Data'!O87:O91)</f>
        <v>388.85471957902132</v>
      </c>
      <c r="P27" s="24">
        <f>AVERAGE('3. Raw Data'!R87:R91)</f>
        <v>11.847603530221402</v>
      </c>
      <c r="Q27" s="24">
        <f>AVERAGE('3. Raw Data'!S87:S91)</f>
        <v>2.6043824067190146E-2</v>
      </c>
      <c r="R27" s="24">
        <f>E27-E10</f>
        <v>-11.574945180623558</v>
      </c>
      <c r="S27" s="52">
        <f>(E27-E10)/E10*100</f>
        <v>-4.7826522123914961</v>
      </c>
      <c r="T27" s="53">
        <f>TTEST('3. Raw Data'!H87:H91,'3. Raw Data'!H2:H6,2,3)</f>
        <v>1.8581105278356715E-7</v>
      </c>
      <c r="U27" s="49" t="str">
        <f t="shared" si="3"/>
        <v>yes</v>
      </c>
      <c r="V27" s="22" t="str">
        <f t="shared" si="2"/>
        <v>Excellent</v>
      </c>
    </row>
    <row r="28" spans="1:22" x14ac:dyDescent="0.25">
      <c r="A28" s="43">
        <v>19</v>
      </c>
      <c r="B28" s="13" t="s">
        <v>287</v>
      </c>
      <c r="C28" s="44" t="s">
        <v>362</v>
      </c>
      <c r="D28" s="14">
        <v>5</v>
      </c>
      <c r="E28" s="45">
        <f>AVERAGE('3. Raw Data'!H92:H96)</f>
        <v>229.91298106864141</v>
      </c>
      <c r="F28" s="16">
        <f>STDEV('3. Raw Data'!H92:H96)</f>
        <v>2.8062894579487874</v>
      </c>
      <c r="G28" s="16">
        <f t="shared" si="0"/>
        <v>1.2205876522957</v>
      </c>
      <c r="H28" s="16">
        <f t="shared" si="1"/>
        <v>3.4844685884737654</v>
      </c>
      <c r="I28" s="16">
        <f>AVERAGE('3. Raw Data'!I92:I96)</f>
        <v>232.26521611822858</v>
      </c>
      <c r="J28" s="16">
        <f>AVERAGE('3. Raw Data'!J92:J96)</f>
        <v>180.61215991825688</v>
      </c>
      <c r="K28" s="16">
        <f>AVERAGE('3. Raw Data'!K92:K96)</f>
        <v>160.4552596901311</v>
      </c>
      <c r="L28" s="16">
        <f>AVERAGE('3. Raw Data'!L92:L96)</f>
        <v>160.52342005752362</v>
      </c>
      <c r="M28" s="16">
        <f>AVERAGE('3. Raw Data'!M92:M96)</f>
        <v>90.09892902350677</v>
      </c>
      <c r="N28" s="16">
        <f>AVERAGE('3. Raw Data'!N92:N96)</f>
        <v>40.861861212706621</v>
      </c>
      <c r="O28" s="16">
        <f>AVERAGE('3. Raw Data'!O92:O96)</f>
        <v>396.61208027645705</v>
      </c>
      <c r="P28" s="16">
        <f>AVERAGE('3. Raw Data'!R92:R96)</f>
        <v>10.736452578621845</v>
      </c>
      <c r="Q28" s="16">
        <f>AVERAGE('3. Raw Data'!S92:S96)</f>
        <v>2.0298997231553269E-2</v>
      </c>
      <c r="R28" s="16">
        <f>E28-E10</f>
        <v>-12.106397857422593</v>
      </c>
      <c r="S28" s="46">
        <f>(E28-E10)/E10*100</f>
        <v>-5.0022431720730305</v>
      </c>
      <c r="T28" s="54">
        <f>TTEST('3. Raw Data'!H92:H96,'3. Raw Data'!H2:H6,2,3)</f>
        <v>3.3572062937381133E-4</v>
      </c>
      <c r="U28" s="43" t="str">
        <f t="shared" si="3"/>
        <v>yes</v>
      </c>
      <c r="V28" s="14" t="str">
        <f t="shared" si="2"/>
        <v>Good</v>
      </c>
    </row>
    <row r="29" spans="1:22" x14ac:dyDescent="0.25">
      <c r="A29" s="49">
        <v>20</v>
      </c>
      <c r="B29" s="21" t="s">
        <v>289</v>
      </c>
      <c r="C29" s="50" t="s">
        <v>362</v>
      </c>
      <c r="D29" s="22">
        <v>5</v>
      </c>
      <c r="E29" s="51">
        <f>AVERAGE('3. Raw Data'!H97:H101)</f>
        <v>229.64507146135247</v>
      </c>
      <c r="F29" s="24">
        <f>STDEV('3. Raw Data'!H97:H101)</f>
        <v>0.946625229092937</v>
      </c>
      <c r="G29" s="24">
        <f t="shared" si="0"/>
        <v>0.41221229920984692</v>
      </c>
      <c r="H29" s="24">
        <f t="shared" si="1"/>
        <v>1.1753904667560904</v>
      </c>
      <c r="I29" s="24">
        <f>AVERAGE('3. Raw Data'!I97:I101)</f>
        <v>232.97047814522813</v>
      </c>
      <c r="J29" s="24">
        <f>AVERAGE('3. Raw Data'!J97:J101)</f>
        <v>175.52310394133255</v>
      </c>
      <c r="K29" s="24">
        <f>AVERAGE('3. Raw Data'!K97:K101)</f>
        <v>155.38403002360181</v>
      </c>
      <c r="L29" s="24">
        <f>AVERAGE('3. Raw Data'!L97:L101)</f>
        <v>154.89029138398013</v>
      </c>
      <c r="M29" s="24">
        <f>AVERAGE('3. Raw Data'!M97:M101)</f>
        <v>84.417387551881092</v>
      </c>
      <c r="N29" s="24">
        <f>AVERAGE('3. Raw Data'!N97:N101)</f>
        <v>40.045927167018185</v>
      </c>
      <c r="O29" s="24">
        <f>AVERAGE('3. Raw Data'!O97:O101)</f>
        <v>460.02851951569176</v>
      </c>
      <c r="P29" s="24">
        <f>AVERAGE('3. Raw Data'!R97:R101)</f>
        <v>11.567868206792577</v>
      </c>
      <c r="Q29" s="24">
        <f>AVERAGE('3. Raw Data'!S97:S101)</f>
        <v>2.3246776879188361E-2</v>
      </c>
      <c r="R29" s="24">
        <f>E29-E10</f>
        <v>-12.374307464711535</v>
      </c>
      <c r="S29" s="52">
        <f>(E29-E10)/E10*100</f>
        <v>-5.1129407569018834</v>
      </c>
      <c r="T29" s="53">
        <f>TTEST('3. Raw Data'!H97:H101,'3. Raw Data'!H2:H6,2,3)</f>
        <v>2.4387359821838131E-8</v>
      </c>
      <c r="U29" s="49" t="str">
        <f t="shared" si="3"/>
        <v>yes</v>
      </c>
      <c r="V29" s="22" t="str">
        <f t="shared" si="2"/>
        <v>Excellent</v>
      </c>
    </row>
    <row r="30" spans="1:22" x14ac:dyDescent="0.25">
      <c r="A30" s="43">
        <v>21</v>
      </c>
      <c r="B30" s="13" t="s">
        <v>291</v>
      </c>
      <c r="C30" s="44" t="s">
        <v>362</v>
      </c>
      <c r="D30" s="14">
        <v>5</v>
      </c>
      <c r="E30" s="45">
        <f>AVERAGE('3. Raw Data'!H102:H106)</f>
        <v>229.08120604614624</v>
      </c>
      <c r="F30" s="16">
        <f>STDEV('3. Raw Data'!H102:H106)</f>
        <v>0.92931351147230257</v>
      </c>
      <c r="G30" s="16">
        <f t="shared" si="0"/>
        <v>0.40566990523225255</v>
      </c>
      <c r="H30" s="16">
        <f t="shared" si="1"/>
        <v>1.1538951302394787</v>
      </c>
      <c r="I30" s="16">
        <f>AVERAGE('3. Raw Data'!I102:I106)</f>
        <v>232.40191484960798</v>
      </c>
      <c r="J30" s="16">
        <f>AVERAGE('3. Raw Data'!J102:J106)</f>
        <v>174.21624334975917</v>
      </c>
      <c r="K30" s="16">
        <f>AVERAGE('3. Raw Data'!K102:K106)</f>
        <v>152.88279201875633</v>
      </c>
      <c r="L30" s="16">
        <f>AVERAGE('3. Raw Data'!L102:L106)</f>
        <v>153.48254822079878</v>
      </c>
      <c r="M30" s="16">
        <f>AVERAGE('3. Raw Data'!M102:M106)</f>
        <v>82.33946681675323</v>
      </c>
      <c r="N30" s="16">
        <f>AVERAGE('3. Raw Data'!N102:N106)</f>
        <v>40.199385890442144</v>
      </c>
      <c r="O30" s="16">
        <f>AVERAGE('3. Raw Data'!O102:O106)</f>
        <v>436.10800829714583</v>
      </c>
      <c r="P30" s="16">
        <f>AVERAGE('3. Raw Data'!R102:R106)</f>
        <v>11.638492110484233</v>
      </c>
      <c r="Q30" s="16">
        <f>AVERAGE('3. Raw Data'!S102:S106)</f>
        <v>2.9121763706096336E-2</v>
      </c>
      <c r="R30" s="16">
        <f>E30-E10</f>
        <v>-12.938172879917772</v>
      </c>
      <c r="S30" s="46">
        <f>(E30-E10)/E10*100</f>
        <v>-5.345924337683031</v>
      </c>
      <c r="T30" s="54">
        <f>TTEST('3. Raw Data'!H102:H106,'3. Raw Data'!H2:H6,2,3)</f>
        <v>1.5182862724727693E-8</v>
      </c>
      <c r="U30" s="43" t="str">
        <f t="shared" si="3"/>
        <v>yes</v>
      </c>
      <c r="V30" s="14" t="str">
        <f t="shared" si="2"/>
        <v>Excellent</v>
      </c>
    </row>
    <row r="31" spans="1:22" x14ac:dyDescent="0.25">
      <c r="A31" s="49">
        <v>22</v>
      </c>
      <c r="B31" s="21" t="s">
        <v>293</v>
      </c>
      <c r="C31" s="50" t="s">
        <v>362</v>
      </c>
      <c r="D31" s="22">
        <v>5</v>
      </c>
      <c r="E31" s="51">
        <f>AVERAGE('3. Raw Data'!H107:H111)</f>
        <v>228.55973000354115</v>
      </c>
      <c r="F31" s="24">
        <f>STDEV('3. Raw Data'!H107:H111)</f>
        <v>0.66886175774120338</v>
      </c>
      <c r="G31" s="24">
        <f t="shared" si="0"/>
        <v>0.29264199679044095</v>
      </c>
      <c r="H31" s="24">
        <f t="shared" si="1"/>
        <v>0.83050156436253997</v>
      </c>
      <c r="I31" s="24">
        <f>AVERAGE('3. Raw Data'!I107:I111)</f>
        <v>230.97481461016787</v>
      </c>
      <c r="J31" s="24">
        <f>AVERAGE('3. Raw Data'!J107:J111)</f>
        <v>178.33863844247216</v>
      </c>
      <c r="K31" s="24">
        <f>AVERAGE('3. Raw Data'!K107:K111)</f>
        <v>158.45048128920718</v>
      </c>
      <c r="L31" s="24">
        <f>AVERAGE('3. Raw Data'!L107:L111)</f>
        <v>159.37949191631611</v>
      </c>
      <c r="M31" s="24">
        <f>AVERAGE('3. Raw Data'!M107:M111)</f>
        <v>89.524981059878982</v>
      </c>
      <c r="N31" s="24">
        <f>AVERAGE('3. Raw Data'!N107:N111)</f>
        <v>40.472558992854161</v>
      </c>
      <c r="O31" s="24">
        <f>AVERAGE('3. Raw Data'!O107:O111)</f>
        <v>406.00412126325818</v>
      </c>
      <c r="P31" s="24">
        <f>AVERAGE('3. Raw Data'!R107:R111)</f>
        <v>11.544877925039405</v>
      </c>
      <c r="Q31" s="24">
        <f>AVERAGE('3. Raw Data'!S107:S111)</f>
        <v>2.0432260648634591E-2</v>
      </c>
      <c r="R31" s="24">
        <f>E31-E10</f>
        <v>-13.459648922522859</v>
      </c>
      <c r="S31" s="52">
        <f>(E31-E10)/E10*100</f>
        <v>-5.5613930513534333</v>
      </c>
      <c r="T31" s="53">
        <f>TTEST('3. Raw Data'!H107:H111,'3. Raw Data'!H2:H6,2,3)</f>
        <v>6.5259004689967691E-9</v>
      </c>
      <c r="U31" s="49" t="str">
        <f t="shared" si="3"/>
        <v>yes</v>
      </c>
      <c r="V31" s="22" t="str">
        <f t="shared" si="2"/>
        <v>Excellent</v>
      </c>
    </row>
    <row r="32" spans="1:22" x14ac:dyDescent="0.25">
      <c r="A32" s="43">
        <v>23</v>
      </c>
      <c r="B32" s="13" t="s">
        <v>295</v>
      </c>
      <c r="C32" s="44" t="s">
        <v>362</v>
      </c>
      <c r="D32" s="14">
        <v>5</v>
      </c>
      <c r="E32" s="45">
        <f>AVERAGE('3. Raw Data'!H112:H116)</f>
        <v>228.46359991410424</v>
      </c>
      <c r="F32" s="16">
        <f>STDEV('3. Raw Data'!H112:H116)</f>
        <v>0.26452955680623375</v>
      </c>
      <c r="G32" s="16">
        <f t="shared" si="0"/>
        <v>0.11578630333483728</v>
      </c>
      <c r="H32" s="16">
        <f t="shared" si="1"/>
        <v>0.32845682714709795</v>
      </c>
      <c r="I32" s="16">
        <f>AVERAGE('3. Raw Data'!I112:I116)</f>
        <v>230.66194176019403</v>
      </c>
      <c r="J32" s="16">
        <f>AVERAGE('3. Raw Data'!J112:J116)</f>
        <v>179.16336237353204</v>
      </c>
      <c r="K32" s="16">
        <f>AVERAGE('3. Raw Data'!K112:K116)</f>
        <v>161.42652228323323</v>
      </c>
      <c r="L32" s="16">
        <f>AVERAGE('3. Raw Data'!L112:L116)</f>
        <v>161.27114382452254</v>
      </c>
      <c r="M32" s="16">
        <f>AVERAGE('3. Raw Data'!M112:M116)</f>
        <v>93.846199202588778</v>
      </c>
      <c r="N32" s="16">
        <f>AVERAGE('3. Raw Data'!N112:N116)</f>
        <v>40.882620520961936</v>
      </c>
      <c r="O32" s="16">
        <f>AVERAGE('3. Raw Data'!O112:O116)</f>
        <v>429.85597973836985</v>
      </c>
      <c r="P32" s="16">
        <f>AVERAGE('3. Raw Data'!R112:R116)</f>
        <v>11.463380729354515</v>
      </c>
      <c r="Q32" s="16">
        <f>AVERAGE('3. Raw Data'!S112:S116)</f>
        <v>1.4590142915130555E-2</v>
      </c>
      <c r="R32" s="16">
        <f>E32-E10</f>
        <v>-13.555779011959771</v>
      </c>
      <c r="S32" s="46">
        <f>(E32-E10)/E10*100</f>
        <v>-5.6011130481005855</v>
      </c>
      <c r="T32" s="54">
        <f>TTEST('3. Raw Data'!H112:H116,'3. Raw Data'!H2:H6,2,3)</f>
        <v>7.0234944065340716E-7</v>
      </c>
      <c r="U32" s="43" t="str">
        <f t="shared" si="3"/>
        <v>yes</v>
      </c>
      <c r="V32" s="14" t="str">
        <f t="shared" si="2"/>
        <v>Excellent</v>
      </c>
    </row>
    <row r="33" spans="1:22" x14ac:dyDescent="0.25">
      <c r="A33" s="49">
        <v>24</v>
      </c>
      <c r="B33" s="21" t="s">
        <v>297</v>
      </c>
      <c r="C33" s="50" t="s">
        <v>362</v>
      </c>
      <c r="D33" s="22">
        <v>5</v>
      </c>
      <c r="E33" s="51">
        <f>AVERAGE('3. Raw Data'!H117:H121)</f>
        <v>228.0791307736059</v>
      </c>
      <c r="F33" s="24">
        <f>STDEV('3. Raw Data'!H117:H121)</f>
        <v>0.19792831208525621</v>
      </c>
      <c r="G33" s="24">
        <f t="shared" si="0"/>
        <v>8.6780544723191813E-2</v>
      </c>
      <c r="H33" s="24">
        <f t="shared" si="1"/>
        <v>0.24576045934150165</v>
      </c>
      <c r="I33" s="24">
        <f>AVERAGE('3. Raw Data'!I117:I121)</f>
        <v>230.41227927712544</v>
      </c>
      <c r="J33" s="24">
        <f>AVERAGE('3. Raw Data'!J117:J121)</f>
        <v>178.35919813863504</v>
      </c>
      <c r="K33" s="24">
        <f>AVERAGE('3. Raw Data'!K117:K121)</f>
        <v>161.94818967247278</v>
      </c>
      <c r="L33" s="24">
        <f>AVERAGE('3. Raw Data'!L117:L121)</f>
        <v>161.34229367373217</v>
      </c>
      <c r="M33" s="24">
        <f>AVERAGE('3. Raw Data'!M117:M121)</f>
        <v>94.153727148848205</v>
      </c>
      <c r="N33" s="24">
        <f>AVERAGE('3. Raw Data'!N117:N121)</f>
        <v>48.691730018529881</v>
      </c>
      <c r="O33" s="24">
        <f>AVERAGE('3. Raw Data'!O117:O121)</f>
        <v>384.5738075055994</v>
      </c>
      <c r="P33" s="24">
        <f>AVERAGE('3. Raw Data'!R117:R121)</f>
        <v>11.328759911546836</v>
      </c>
      <c r="Q33" s="24">
        <f>AVERAGE('3. Raw Data'!S117:S121)</f>
        <v>2.4851357909940509E-2</v>
      </c>
      <c r="R33" s="24">
        <f>E33-E10</f>
        <v>-13.940248152458111</v>
      </c>
      <c r="S33" s="52">
        <f>(E33-E10)/E10*100</f>
        <v>-5.7599718726312421</v>
      </c>
      <c r="T33" s="53">
        <f>TTEST('3. Raw Data'!H117:H121,'3. Raw Data'!H2:H6,2,3)</f>
        <v>1.2578039976124684E-6</v>
      </c>
      <c r="U33" s="49" t="str">
        <f t="shared" si="3"/>
        <v>yes</v>
      </c>
      <c r="V33" s="22" t="str">
        <f t="shared" si="2"/>
        <v>Excellent</v>
      </c>
    </row>
    <row r="34" spans="1:22" x14ac:dyDescent="0.25">
      <c r="A34" s="43">
        <v>25</v>
      </c>
      <c r="B34" s="13" t="s">
        <v>299</v>
      </c>
      <c r="C34" s="44" t="s">
        <v>362</v>
      </c>
      <c r="D34" s="14">
        <v>5</v>
      </c>
      <c r="E34" s="45">
        <f>AVERAGE('3. Raw Data'!H122:H126)</f>
        <v>227.86704657717556</v>
      </c>
      <c r="F34" s="16">
        <f>STDEV('3. Raw Data'!H122:H126)</f>
        <v>0.44216448125147662</v>
      </c>
      <c r="G34" s="16">
        <f t="shared" si="0"/>
        <v>0.19404494326551136</v>
      </c>
      <c r="H34" s="16">
        <f t="shared" si="1"/>
        <v>0.54901971765440183</v>
      </c>
      <c r="I34" s="16">
        <f>AVERAGE('3. Raw Data'!I122:I126)</f>
        <v>230.11196506887873</v>
      </c>
      <c r="J34" s="16">
        <f>AVERAGE('3. Raw Data'!J122:J126)</f>
        <v>178.14829760411757</v>
      </c>
      <c r="K34" s="16">
        <f>AVERAGE('3. Raw Data'!K122:K126)</f>
        <v>158.92654356059145</v>
      </c>
      <c r="L34" s="16">
        <f>AVERAGE('3. Raw Data'!L122:L126)</f>
        <v>160.60691706327421</v>
      </c>
      <c r="M34" s="16">
        <f>AVERAGE('3. Raw Data'!M122:M126)</f>
        <v>94.994294518824347</v>
      </c>
      <c r="N34" s="16">
        <f>AVERAGE('3. Raw Data'!N122:N126)</f>
        <v>39.844416807224846</v>
      </c>
      <c r="O34" s="16">
        <f>AVERAGE('3. Raw Data'!O122:O126)</f>
        <v>392.74052807022889</v>
      </c>
      <c r="P34" s="16">
        <f>AVERAGE('3. Raw Data'!R122:R126)</f>
        <v>11.50060016439846</v>
      </c>
      <c r="Q34" s="16">
        <f>AVERAGE('3. Raw Data'!S122:S126)</f>
        <v>1.0246248407837926E-2</v>
      </c>
      <c r="R34" s="16">
        <f>E34-E10</f>
        <v>-14.15233234888845</v>
      </c>
      <c r="S34" s="46">
        <f>(E34-E10)/E10*100</f>
        <v>-5.8476029529899476</v>
      </c>
      <c r="T34" s="54">
        <f>TTEST('3. Raw Data'!H122:H126,'3. Raw Data'!H2:H6,2,3)</f>
        <v>4.8949753170677187E-8</v>
      </c>
      <c r="U34" s="43" t="str">
        <f t="shared" si="3"/>
        <v>yes</v>
      </c>
      <c r="V34" s="14" t="str">
        <f t="shared" si="2"/>
        <v>Excellent</v>
      </c>
    </row>
    <row r="35" spans="1:22" x14ac:dyDescent="0.25">
      <c r="A35" s="49">
        <v>26</v>
      </c>
      <c r="B35" s="21" t="s">
        <v>301</v>
      </c>
      <c r="C35" s="50" t="s">
        <v>362</v>
      </c>
      <c r="D35" s="22">
        <v>5</v>
      </c>
      <c r="E35" s="51">
        <f>AVERAGE('3. Raw Data'!H127:H131)</f>
        <v>227.51220447133136</v>
      </c>
      <c r="F35" s="24">
        <f>STDEV('3. Raw Data'!H127:H131)</f>
        <v>5.6175673186054933</v>
      </c>
      <c r="G35" s="24">
        <f t="shared" si="0"/>
        <v>2.4691279009225013</v>
      </c>
      <c r="H35" s="24">
        <f t="shared" si="1"/>
        <v>6.9751310969984948</v>
      </c>
      <c r="I35" s="24">
        <f>AVERAGE('3. Raw Data'!I127:I131)</f>
        <v>230.38295085117457</v>
      </c>
      <c r="J35" s="24">
        <f>AVERAGE('3. Raw Data'!J127:J131)</f>
        <v>177.39390453311344</v>
      </c>
      <c r="K35" s="24">
        <f>AVERAGE('3. Raw Data'!K127:K131)</f>
        <v>156.12006686924693</v>
      </c>
      <c r="L35" s="24">
        <f>AVERAGE('3. Raw Data'!L127:L131)</f>
        <v>157.28114672115129</v>
      </c>
      <c r="M35" s="24">
        <f>AVERAGE('3. Raw Data'!M127:M131)</f>
        <v>85.552794369484346</v>
      </c>
      <c r="N35" s="24">
        <f>AVERAGE('3. Raw Data'!N127:N131)</f>
        <v>39.494379029358242</v>
      </c>
      <c r="O35" s="24">
        <f>AVERAGE('3. Raw Data'!O127:O131)</f>
        <v>404.46508310817006</v>
      </c>
      <c r="P35" s="24">
        <f>AVERAGE('3. Raw Data'!R127:R131)</f>
        <v>10.973297097483119</v>
      </c>
      <c r="Q35" s="24">
        <f>AVERAGE('3. Raw Data'!S127:S131)</f>
        <v>1.9078111361853785E-2</v>
      </c>
      <c r="R35" s="24">
        <f>E35-E10</f>
        <v>-14.507174454732649</v>
      </c>
      <c r="S35" s="52">
        <f>(E35-E10)/E10*100</f>
        <v>-5.994220181502298</v>
      </c>
      <c r="T35" s="53">
        <f>TTEST('3. Raw Data'!H127:H131,'3. Raw Data'!H2:H6,2,3)</f>
        <v>4.0581865835079868E-3</v>
      </c>
      <c r="U35" s="49" t="str">
        <f t="shared" si="3"/>
        <v>yes</v>
      </c>
      <c r="V35" s="22" t="str">
        <f t="shared" si="2"/>
        <v>Fair</v>
      </c>
    </row>
    <row r="36" spans="1:22" x14ac:dyDescent="0.25">
      <c r="A36" s="43">
        <v>27</v>
      </c>
      <c r="B36" s="13" t="s">
        <v>303</v>
      </c>
      <c r="C36" s="44" t="s">
        <v>362</v>
      </c>
      <c r="D36" s="14">
        <v>5</v>
      </c>
      <c r="E36" s="45">
        <f>AVERAGE('3. Raw Data'!H132:H136)</f>
        <v>227.40213987001349</v>
      </c>
      <c r="F36" s="16">
        <f>STDEV('3. Raw Data'!H132:H136)</f>
        <v>1.1490887227702009</v>
      </c>
      <c r="G36" s="16">
        <f t="shared" si="0"/>
        <v>0.50531130596529894</v>
      </c>
      <c r="H36" s="16">
        <f t="shared" si="1"/>
        <v>1.4267820978057044</v>
      </c>
      <c r="I36" s="16">
        <f>AVERAGE('3. Raw Data'!I132:I136)</f>
        <v>230.69366361103857</v>
      </c>
      <c r="J36" s="16">
        <f>AVERAGE('3. Raw Data'!J132:J136)</f>
        <v>174.27692869880511</v>
      </c>
      <c r="K36" s="16">
        <f>AVERAGE('3. Raw Data'!K132:K136)</f>
        <v>154.26265290184452</v>
      </c>
      <c r="L36" s="16">
        <f>AVERAGE('3. Raw Data'!L132:L136)</f>
        <v>154.4005228734475</v>
      </c>
      <c r="M36" s="16">
        <f>AVERAGE('3. Raw Data'!M132:M136)</f>
        <v>85.253337075401276</v>
      </c>
      <c r="N36" s="16">
        <f>AVERAGE('3. Raw Data'!N132:N136)</f>
        <v>39.868700569394719</v>
      </c>
      <c r="O36" s="16">
        <f>AVERAGE('3. Raw Data'!O132:O136)</f>
        <v>368.05092703389892</v>
      </c>
      <c r="P36" s="16">
        <f>AVERAGE('3. Raw Data'!R132:R136)</f>
        <v>11.419859810343306</v>
      </c>
      <c r="Q36" s="16">
        <f>AVERAGE('3. Raw Data'!S132:S136)</f>
        <v>2.1995832813782531E-2</v>
      </c>
      <c r="R36" s="16">
        <f>E36-E10</f>
        <v>-14.617239056050522</v>
      </c>
      <c r="S36" s="46">
        <f>(E36-E10)/E10*100</f>
        <v>-6.0396977799517586</v>
      </c>
      <c r="T36" s="54">
        <f>TTEST('3. Raw Data'!H132:H136,'3. Raw Data'!H2:H6,2,3)</f>
        <v>4.1174028879223817E-8</v>
      </c>
      <c r="U36" s="43" t="str">
        <f t="shared" si="3"/>
        <v>yes</v>
      </c>
      <c r="V36" s="14" t="str">
        <f t="shared" si="2"/>
        <v>Excellent</v>
      </c>
    </row>
    <row r="37" spans="1:22" x14ac:dyDescent="0.25">
      <c r="A37" s="49">
        <v>28</v>
      </c>
      <c r="B37" s="21" t="s">
        <v>305</v>
      </c>
      <c r="C37" s="50" t="s">
        <v>362</v>
      </c>
      <c r="D37" s="22">
        <v>5</v>
      </c>
      <c r="E37" s="51">
        <f>AVERAGE('3. Raw Data'!H137:H141)</f>
        <v>227.28951660350435</v>
      </c>
      <c r="F37" s="24">
        <f>STDEV('3. Raw Data'!H137:H141)</f>
        <v>0.55048220685388438</v>
      </c>
      <c r="G37" s="24">
        <f t="shared" si="0"/>
        <v>0.24219427938428598</v>
      </c>
      <c r="H37" s="24">
        <f t="shared" si="1"/>
        <v>0.68351393790222559</v>
      </c>
      <c r="I37" s="24">
        <f>AVERAGE('3. Raw Data'!I137:I141)</f>
        <v>229.56102242529482</v>
      </c>
      <c r="J37" s="24">
        <f>AVERAGE('3. Raw Data'!J137:J141)</f>
        <v>177.25876384067882</v>
      </c>
      <c r="K37" s="24">
        <f>AVERAGE('3. Raw Data'!K137:K141)</f>
        <v>159.45955122269038</v>
      </c>
      <c r="L37" s="24">
        <f>AVERAGE('3. Raw Data'!L137:L141)</f>
        <v>159.59554555257466</v>
      </c>
      <c r="M37" s="24">
        <f>AVERAGE('3. Raw Data'!M137:M141)</f>
        <v>89.891790671955704</v>
      </c>
      <c r="N37" s="24">
        <f>AVERAGE('3. Raw Data'!N137:N141)</f>
        <v>42.053368583957614</v>
      </c>
      <c r="O37" s="24">
        <f>AVERAGE('3. Raw Data'!O137:O141)</f>
        <v>420.57473302805329</v>
      </c>
      <c r="P37" s="24">
        <f>AVERAGE('3. Raw Data'!R137:R141)</f>
        <v>11.439110771797933</v>
      </c>
      <c r="Q37" s="24">
        <f>AVERAGE('3. Raw Data'!S137:S141)</f>
        <v>2.0536757791382691E-2</v>
      </c>
      <c r="R37" s="24">
        <f>E37-E10</f>
        <v>-14.729862322559654</v>
      </c>
      <c r="S37" s="52">
        <f>(E37-E10)/E10*100</f>
        <v>-6.0862325934071464</v>
      </c>
      <c r="T37" s="53">
        <f>TTEST('3. Raw Data'!H137:H141,'3. Raw Data'!H2:H6,2,3)</f>
        <v>9.0423527354010463E-9</v>
      </c>
      <c r="U37" s="49" t="str">
        <f t="shared" si="3"/>
        <v>yes</v>
      </c>
      <c r="V37" s="22" t="str">
        <f t="shared" si="2"/>
        <v>Excellent</v>
      </c>
    </row>
    <row r="38" spans="1:22" x14ac:dyDescent="0.25">
      <c r="A38" s="43">
        <v>29</v>
      </c>
      <c r="B38" s="13" t="s">
        <v>307</v>
      </c>
      <c r="C38" s="44" t="s">
        <v>362</v>
      </c>
      <c r="D38" s="14">
        <v>5</v>
      </c>
      <c r="E38" s="45">
        <f>AVERAGE('3. Raw Data'!H142:H146)</f>
        <v>226.96542138377626</v>
      </c>
      <c r="F38" s="16">
        <f>STDEV('3. Raw Data'!H142:H146)</f>
        <v>0.77326540262983978</v>
      </c>
      <c r="G38" s="16">
        <f t="shared" si="0"/>
        <v>0.34069744982092398</v>
      </c>
      <c r="H38" s="16">
        <f t="shared" si="1"/>
        <v>0.96013581150201022</v>
      </c>
      <c r="I38" s="16">
        <f>AVERAGE('3. Raw Data'!I142:I146)</f>
        <v>229.03285527703878</v>
      </c>
      <c r="J38" s="16">
        <f>AVERAGE('3. Raw Data'!J142:J146)</f>
        <v>177.86600768235064</v>
      </c>
      <c r="K38" s="16">
        <f>AVERAGE('3. Raw Data'!K142:K146)</f>
        <v>159.18965163989495</v>
      </c>
      <c r="L38" s="16">
        <f>AVERAGE('3. Raw Data'!L142:L146)</f>
        <v>160.17145757673114</v>
      </c>
      <c r="M38" s="16">
        <f>AVERAGE('3. Raw Data'!M142:M146)</f>
        <v>93.894648971621379</v>
      </c>
      <c r="N38" s="16">
        <f>AVERAGE('3. Raw Data'!N142:N146)</f>
        <v>40.84224629824061</v>
      </c>
      <c r="O38" s="16">
        <f>AVERAGE('3. Raw Data'!O142:O146)</f>
        <v>395.2108986903142</v>
      </c>
      <c r="P38" s="16">
        <f>AVERAGE('3. Raw Data'!R142:R146)</f>
        <v>10.87420145166362</v>
      </c>
      <c r="Q38" s="16">
        <f>AVERAGE('3. Raw Data'!S142:S146)</f>
        <v>1.6146520490202119E-2</v>
      </c>
      <c r="R38" s="16">
        <f>E38-E10</f>
        <v>-15.053957542287748</v>
      </c>
      <c r="S38" s="46">
        <f>(E38-E10)/E10*100</f>
        <v>-6.2201455144162958</v>
      </c>
      <c r="T38" s="54">
        <f>TTEST('3. Raw Data'!H142:H146,'3. Raw Data'!H2:H6,2,3)</f>
        <v>2.273981612556632E-9</v>
      </c>
      <c r="U38" s="43" t="str">
        <f t="shared" si="3"/>
        <v>yes</v>
      </c>
      <c r="V38" s="14" t="str">
        <f t="shared" si="2"/>
        <v>Excellent</v>
      </c>
    </row>
    <row r="39" spans="1:22" x14ac:dyDescent="0.25">
      <c r="A39" s="49">
        <v>30</v>
      </c>
      <c r="B39" s="21" t="s">
        <v>309</v>
      </c>
      <c r="C39" s="50" t="s">
        <v>362</v>
      </c>
      <c r="D39" s="22">
        <v>5</v>
      </c>
      <c r="E39" s="51">
        <f>AVERAGE('3. Raw Data'!H147:H151)</f>
        <v>226.61668210657166</v>
      </c>
      <c r="F39" s="24">
        <f>STDEV('3. Raw Data'!H147:H151)</f>
        <v>1.1318187672723818</v>
      </c>
      <c r="G39" s="24">
        <f t="shared" si="0"/>
        <v>0.49944194608767517</v>
      </c>
      <c r="H39" s="24">
        <f t="shared" si="1"/>
        <v>1.4053386158134813</v>
      </c>
      <c r="I39" s="24">
        <f>AVERAGE('3. Raw Data'!I147:I151)</f>
        <v>229.14664348680185</v>
      </c>
      <c r="J39" s="24">
        <f>AVERAGE('3. Raw Data'!J147:J151)</f>
        <v>177.43063904721157</v>
      </c>
      <c r="K39" s="24">
        <f>AVERAGE('3. Raw Data'!K147:K151)</f>
        <v>157.58473191772464</v>
      </c>
      <c r="L39" s="24">
        <f>AVERAGE('3. Raw Data'!L147:L151)</f>
        <v>131.10833320453102</v>
      </c>
      <c r="M39" s="24">
        <f>AVERAGE('3. Raw Data'!M147:M151)</f>
        <v>75.492699355012434</v>
      </c>
      <c r="N39" s="24">
        <f>AVERAGE('3. Raw Data'!N147:N151)</f>
        <v>33.671458172675294</v>
      </c>
      <c r="O39" s="24">
        <f>AVERAGE('3. Raw Data'!O147:O151)</f>
        <v>391.64428232587682</v>
      </c>
      <c r="P39" s="24">
        <f>AVERAGE('3. Raw Data'!R147:R151)</f>
        <v>28.294420595195664</v>
      </c>
      <c r="Q39" s="24">
        <f>AVERAGE('3. Raw Data'!S147:S151)</f>
        <v>1.916684057941594E-2</v>
      </c>
      <c r="R39" s="24">
        <f>E39-E10</f>
        <v>-15.402696819492348</v>
      </c>
      <c r="S39" s="52">
        <f>(E39-E10)/E10*100</f>
        <v>-6.3642411148397384</v>
      </c>
      <c r="T39" s="53">
        <f>TTEST('3. Raw Data'!H147:H151,'3. Raw Data'!H2:H6,2,3)</f>
        <v>2.3801483597163483E-8</v>
      </c>
      <c r="U39" s="49" t="str">
        <f t="shared" si="3"/>
        <v>yes</v>
      </c>
      <c r="V39" s="22" t="str">
        <f t="shared" si="2"/>
        <v>Excellent</v>
      </c>
    </row>
    <row r="40" spans="1:22" x14ac:dyDescent="0.25">
      <c r="A40" s="55">
        <v>31</v>
      </c>
      <c r="B40" s="56" t="s">
        <v>311</v>
      </c>
      <c r="C40" s="57" t="s">
        <v>171</v>
      </c>
      <c r="D40" s="30">
        <v>5</v>
      </c>
      <c r="E40" s="58">
        <f>AVERAGE('3. Raw Data'!H152:H156)</f>
        <v>226.53446293957845</v>
      </c>
      <c r="F40" s="32">
        <f>STDEV('3. Raw Data'!H152:H156)</f>
        <v>0.33354032120318439</v>
      </c>
      <c r="G40" s="32">
        <f t="shared" si="0"/>
        <v>0.14723601737019001</v>
      </c>
      <c r="H40" s="32">
        <f t="shared" si="1"/>
        <v>0.41414500878731364</v>
      </c>
      <c r="I40" s="32">
        <f>AVERAGE('3. Raw Data'!I152:I156)</f>
        <v>228.73917576261269</v>
      </c>
      <c r="J40" s="32">
        <f>AVERAGE('3. Raw Data'!J152:J156)</f>
        <v>177.14576716008813</v>
      </c>
      <c r="K40" s="32">
        <f>AVERAGE('3. Raw Data'!K152:K156)</f>
        <v>157.68577045002695</v>
      </c>
      <c r="L40" s="32">
        <f>AVERAGE('3. Raw Data'!L152:L156)</f>
        <v>157.60209646106139</v>
      </c>
      <c r="M40" s="32">
        <f>AVERAGE('3. Raw Data'!M152:M156)</f>
        <v>84.425415398961903</v>
      </c>
      <c r="N40" s="32">
        <f>AVERAGE('3. Raw Data'!N152:N156)</f>
        <v>40.535874710884308</v>
      </c>
      <c r="O40" s="32">
        <f>AVERAGE('3. Raw Data'!O152:O156)</f>
        <v>406.99755361709538</v>
      </c>
      <c r="P40" s="32">
        <f>AVERAGE('3. Raw Data'!R152:R156)</f>
        <v>10.983514613082706</v>
      </c>
      <c r="Q40" s="32">
        <f>AVERAGE('3. Raw Data'!S152:S156)</f>
        <v>2.2067406592029982E-2</v>
      </c>
      <c r="R40" s="32">
        <f>E40-E10</f>
        <v>-15.484915986485561</v>
      </c>
      <c r="S40" s="59">
        <f>(E40-E10)/E10*100</f>
        <v>-6.3982132568054153</v>
      </c>
      <c r="T40" s="60">
        <f>TTEST('3. Raw Data'!H152:H156,'3. Raw Data'!H2:H6,2,3)</f>
        <v>1.4609682521246375E-7</v>
      </c>
      <c r="U40" s="55" t="str">
        <f t="shared" si="3"/>
        <v>yes</v>
      </c>
      <c r="V40" s="30" t="str">
        <f t="shared" si="2"/>
        <v>Excellent</v>
      </c>
    </row>
    <row r="41" spans="1:22" x14ac:dyDescent="0.25">
      <c r="A41" s="49">
        <v>32</v>
      </c>
      <c r="B41" s="21" t="s">
        <v>313</v>
      </c>
      <c r="C41" s="50" t="s">
        <v>362</v>
      </c>
      <c r="D41" s="22">
        <v>5</v>
      </c>
      <c r="E41" s="51">
        <f>AVERAGE('3. Raw Data'!H157:H161)</f>
        <v>226.29302986399679</v>
      </c>
      <c r="F41" s="24">
        <f>STDEV('3. Raw Data'!H157:H161)</f>
        <v>0.75380830719026193</v>
      </c>
      <c r="G41" s="24">
        <f t="shared" si="0"/>
        <v>0.33311158882945019</v>
      </c>
      <c r="H41" s="24">
        <f t="shared" si="1"/>
        <v>0.9359766365850718</v>
      </c>
      <c r="I41" s="24">
        <f>AVERAGE('3. Raw Data'!I157:I161)</f>
        <v>228.185872212785</v>
      </c>
      <c r="J41" s="24">
        <f>AVERAGE('3. Raw Data'!J157:J161)</f>
        <v>176.67523986098394</v>
      </c>
      <c r="K41" s="24">
        <f>AVERAGE('3. Raw Data'!K157:K161)</f>
        <v>157.27120289228108</v>
      </c>
      <c r="L41" s="24">
        <f>AVERAGE('3. Raw Data'!L157:L161)</f>
        <v>156.59759157206037</v>
      </c>
      <c r="M41" s="24">
        <f>AVERAGE('3. Raw Data'!M157:M161)</f>
        <v>83.321644062670615</v>
      </c>
      <c r="N41" s="24">
        <f>AVERAGE('3. Raw Data'!N157:N161)</f>
        <v>40.089737246482414</v>
      </c>
      <c r="O41" s="24">
        <f>AVERAGE('3. Raw Data'!O157:O161)</f>
        <v>405.79405642833024</v>
      </c>
      <c r="P41" s="24">
        <f>AVERAGE('3. Raw Data'!R157:R161)</f>
        <v>11.119841035384386</v>
      </c>
      <c r="Q41" s="24">
        <f>AVERAGE('3. Raw Data'!S157:S161)</f>
        <v>2.5054962677104296E-2</v>
      </c>
      <c r="R41" s="24">
        <f>E41-E10</f>
        <v>-15.726349062067214</v>
      </c>
      <c r="S41" s="52">
        <f>(E41-E10)/E10*100</f>
        <v>-6.4979710020954791</v>
      </c>
      <c r="T41" s="53">
        <f>TTEST('3. Raw Data'!H157:H161,'3. Raw Data'!H2:H6,2,3)</f>
        <v>1.6006033210548726E-9</v>
      </c>
      <c r="U41" s="49" t="str">
        <f t="shared" si="3"/>
        <v>yes</v>
      </c>
      <c r="V41" s="22" t="str">
        <f t="shared" si="2"/>
        <v>Excellent</v>
      </c>
    </row>
    <row r="42" spans="1:22" x14ac:dyDescent="0.25">
      <c r="A42" s="43">
        <v>33</v>
      </c>
      <c r="B42" s="13" t="s">
        <v>315</v>
      </c>
      <c r="C42" s="44" t="s">
        <v>362</v>
      </c>
      <c r="D42" s="14">
        <v>5</v>
      </c>
      <c r="E42" s="45">
        <f>AVERAGE('3. Raw Data'!H162:H166)</f>
        <v>223.53807838647435</v>
      </c>
      <c r="F42" s="16">
        <f>STDEV('3. Raw Data'!H162:H166)</f>
        <v>0.43898487298591199</v>
      </c>
      <c r="G42" s="16">
        <f t="shared" si="0"/>
        <v>0.1963803554877806</v>
      </c>
      <c r="H42" s="16">
        <f t="shared" si="1"/>
        <v>0.54507171254265896</v>
      </c>
      <c r="I42" s="16">
        <f>AVERAGE('3. Raw Data'!I162:I166)</f>
        <v>225.62905064982033</v>
      </c>
      <c r="J42" s="16">
        <f>AVERAGE('3. Raw Data'!J162:J166)</f>
        <v>173.83433255470482</v>
      </c>
      <c r="K42" s="16">
        <f>AVERAGE('3. Raw Data'!K162:K166)</f>
        <v>152.93146360263444</v>
      </c>
      <c r="L42" s="16">
        <f>AVERAGE('3. Raw Data'!L162:L166)</f>
        <v>153.94013295983626</v>
      </c>
      <c r="M42" s="16">
        <f>AVERAGE('3. Raw Data'!M162:M166)</f>
        <v>88.0641924885295</v>
      </c>
      <c r="N42" s="16">
        <f>AVERAGE('3. Raw Data'!N162:N166)</f>
        <v>40.778081790857101</v>
      </c>
      <c r="O42" s="16">
        <f>AVERAGE('3. Raw Data'!O162:O166)</f>
        <v>380.75021153623754</v>
      </c>
      <c r="P42" s="16">
        <f>AVERAGE('3. Raw Data'!R162:R166)</f>
        <v>11.247335751772885</v>
      </c>
      <c r="Q42" s="16">
        <f>AVERAGE('3. Raw Data'!S162:S166)</f>
        <v>2.5372128187570862E-2</v>
      </c>
      <c r="R42" s="16">
        <f>E42-E10</f>
        <v>-18.481300539589654</v>
      </c>
      <c r="S42" s="46">
        <f>(E42-E10)/E10*100</f>
        <v>-7.6362895490429388</v>
      </c>
      <c r="T42" s="54">
        <f>TTEST('3. Raw Data'!H162:H166,'3. Raw Data'!H2:H6,2,3)</f>
        <v>1.0406877384816295E-8</v>
      </c>
      <c r="U42" s="43" t="str">
        <f t="shared" si="3"/>
        <v>yes</v>
      </c>
      <c r="V42" s="14" t="str">
        <f t="shared" si="2"/>
        <v>Excellent</v>
      </c>
    </row>
    <row r="43" spans="1:22" x14ac:dyDescent="0.25">
      <c r="A43" s="49">
        <v>34</v>
      </c>
      <c r="B43" s="21" t="s">
        <v>317</v>
      </c>
      <c r="C43" s="50" t="s">
        <v>362</v>
      </c>
      <c r="D43" s="22">
        <v>5</v>
      </c>
      <c r="E43" s="51">
        <f>AVERAGE('3. Raw Data'!H167:H171)</f>
        <v>222.62068879700388</v>
      </c>
      <c r="F43" s="24">
        <f>STDEV('3. Raw Data'!H167:H171)</f>
        <v>0.87683431553031554</v>
      </c>
      <c r="G43" s="24">
        <f t="shared" si="0"/>
        <v>0.39386919529741227</v>
      </c>
      <c r="H43" s="24">
        <f t="shared" si="1"/>
        <v>1.0887336019836324</v>
      </c>
      <c r="I43" s="24">
        <f>AVERAGE('3. Raw Data'!I167:I171)</f>
        <v>225.78428554518831</v>
      </c>
      <c r="J43" s="24">
        <f>AVERAGE('3. Raw Data'!J167:J171)</f>
        <v>173.03650277749131</v>
      </c>
      <c r="K43" s="24">
        <f>AVERAGE('3. Raw Data'!K167:K171)</f>
        <v>153.8182779257817</v>
      </c>
      <c r="L43" s="24">
        <f>AVERAGE('3. Raw Data'!L167:L171)</f>
        <v>153.9043699269011</v>
      </c>
      <c r="M43" s="24">
        <f>AVERAGE('3. Raw Data'!M167:M171)</f>
        <v>84.457082579239412</v>
      </c>
      <c r="N43" s="24">
        <f>AVERAGE('3. Raw Data'!N167:N171)</f>
        <v>37.761370512230769</v>
      </c>
      <c r="O43" s="24">
        <f>AVERAGE('3. Raw Data'!O167:O171)</f>
        <v>472.7662564881872</v>
      </c>
      <c r="P43" s="24">
        <f>AVERAGE('3. Raw Data'!R167:R171)</f>
        <v>11.043096011199601</v>
      </c>
      <c r="Q43" s="24">
        <f>AVERAGE('3. Raw Data'!S167:S171)</f>
        <v>1.9483850694405093E-2</v>
      </c>
      <c r="R43" s="24">
        <f>E43-E10</f>
        <v>-19.398690129060128</v>
      </c>
      <c r="S43" s="52">
        <f>(E43-E10)/E10*100</f>
        <v>-8.0153458021170909</v>
      </c>
      <c r="T43" s="53">
        <f>TTEST('3. Raw Data'!H167:H171,'3. Raw Data'!H2:H6,2,3)</f>
        <v>4.3827815349086658E-10</v>
      </c>
      <c r="U43" s="49" t="str">
        <f t="shared" si="3"/>
        <v>yes</v>
      </c>
      <c r="V43" s="22" t="str">
        <f t="shared" si="2"/>
        <v>Excellent</v>
      </c>
    </row>
    <row r="44" spans="1:22" x14ac:dyDescent="0.25">
      <c r="A44" s="55">
        <v>35</v>
      </c>
      <c r="B44" s="56" t="s">
        <v>319</v>
      </c>
      <c r="C44" s="57" t="s">
        <v>171</v>
      </c>
      <c r="D44" s="30">
        <v>5</v>
      </c>
      <c r="E44" s="58">
        <f>AVERAGE('3. Raw Data'!H172:H176)</f>
        <v>222.1958712950865</v>
      </c>
      <c r="F44" s="32">
        <f>STDEV('3. Raw Data'!H172:H176)</f>
        <v>2.4608798959048301</v>
      </c>
      <c r="G44" s="32">
        <f t="shared" si="0"/>
        <v>1.1075272828254612</v>
      </c>
      <c r="H44" s="32">
        <f t="shared" si="1"/>
        <v>3.0555859706484543</v>
      </c>
      <c r="I44" s="32">
        <f>AVERAGE('3. Raw Data'!I172:I176)</f>
        <v>225.39424097308952</v>
      </c>
      <c r="J44" s="32">
        <f>AVERAGE('3. Raw Data'!J172:J176)</f>
        <v>172.03789485903377</v>
      </c>
      <c r="K44" s="32">
        <f>AVERAGE('3. Raw Data'!K172:K176)</f>
        <v>150.40900691447999</v>
      </c>
      <c r="L44" s="32">
        <f>AVERAGE('3. Raw Data'!L172:L176)</f>
        <v>152.33629414769817</v>
      </c>
      <c r="M44" s="32">
        <f>AVERAGE('3. Raw Data'!M172:M176)</f>
        <v>89.553094791236134</v>
      </c>
      <c r="N44" s="32">
        <f>AVERAGE('3. Raw Data'!N172:N176)</f>
        <v>39.599477686128054</v>
      </c>
      <c r="O44" s="32">
        <f>AVERAGE('3. Raw Data'!O172:O176)</f>
        <v>407.18693932380904</v>
      </c>
      <c r="P44" s="32">
        <f>AVERAGE('3. Raw Data'!R172:R176)</f>
        <v>11.042806590358158</v>
      </c>
      <c r="Q44" s="32">
        <f>AVERAGE('3. Raw Data'!S172:S176)</f>
        <v>1.9528602437502977E-2</v>
      </c>
      <c r="R44" s="32">
        <f>E44-E10</f>
        <v>-19.823507630977502</v>
      </c>
      <c r="S44" s="59">
        <f>(E44-E10)/E10*100</f>
        <v>-8.1908761682400275</v>
      </c>
      <c r="T44" s="60">
        <f>TTEST('3. Raw Data'!H172:H176,'3. Raw Data'!H2:H6,2,3)</f>
        <v>1.4112435683503699E-5</v>
      </c>
      <c r="U44" s="55" t="str">
        <f t="shared" si="3"/>
        <v>yes</v>
      </c>
      <c r="V44" s="30" t="str">
        <f t="shared" si="2"/>
        <v>Good</v>
      </c>
    </row>
    <row r="45" spans="1:22" x14ac:dyDescent="0.25">
      <c r="A45" s="49">
        <v>36</v>
      </c>
      <c r="B45" s="21" t="s">
        <v>321</v>
      </c>
      <c r="C45" s="50" t="s">
        <v>362</v>
      </c>
      <c r="D45" s="22">
        <v>5</v>
      </c>
      <c r="E45" s="51">
        <f>AVERAGE('3. Raw Data'!H177:H181)</f>
        <v>222.18521855787566</v>
      </c>
      <c r="F45" s="24">
        <f>STDEV('3. Raw Data'!H177:H181)</f>
        <v>0.5867430867607768</v>
      </c>
      <c r="G45" s="24">
        <f t="shared" si="0"/>
        <v>0.26407836244423238</v>
      </c>
      <c r="H45" s="24">
        <f t="shared" si="1"/>
        <v>0.72853776702580408</v>
      </c>
      <c r="I45" s="24">
        <f>AVERAGE('3. Raw Data'!I177:I181)</f>
        <v>225.55261664943905</v>
      </c>
      <c r="J45" s="24">
        <f>AVERAGE('3. Raw Data'!J177:J181)</f>
        <v>170.7040134158448</v>
      </c>
      <c r="K45" s="24">
        <f>AVERAGE('3. Raw Data'!K177:K181)</f>
        <v>151.87396435276304</v>
      </c>
      <c r="L45" s="24">
        <f>AVERAGE('3. Raw Data'!L177:L181)</f>
        <v>151.50611356764279</v>
      </c>
      <c r="M45" s="24">
        <f>AVERAGE('3. Raw Data'!M177:M181)</f>
        <v>88.984412193556324</v>
      </c>
      <c r="N45" s="24">
        <f>AVERAGE('3. Raw Data'!N177:N181)</f>
        <v>39.415123323861238</v>
      </c>
      <c r="O45" s="24">
        <f>AVERAGE('3. Raw Data'!O177:O181)</f>
        <v>389.67783887373201</v>
      </c>
      <c r="P45" s="24">
        <f>AVERAGE('3. Raw Data'!R177:R181)</f>
        <v>11.103042943256662</v>
      </c>
      <c r="Q45" s="24">
        <f>AVERAGE('3. Raw Data'!S177:S181)</f>
        <v>2.2501050176113545E-2</v>
      </c>
      <c r="R45" s="24">
        <f>E45-E10</f>
        <v>-19.83416036818835</v>
      </c>
      <c r="S45" s="52">
        <f>(E45-E10)/E10*100</f>
        <v>-8.1952777732925313</v>
      </c>
      <c r="T45" s="53">
        <f>TTEST('3. Raw Data'!H177:H181,'3. Raw Data'!H2:H6,2,3)</f>
        <v>7.4718146599338085E-10</v>
      </c>
      <c r="U45" s="49" t="str">
        <f t="shared" si="3"/>
        <v>yes</v>
      </c>
      <c r="V45" s="22" t="str">
        <f t="shared" si="2"/>
        <v>Excellent</v>
      </c>
    </row>
    <row r="46" spans="1:22" x14ac:dyDescent="0.25">
      <c r="A46" s="43">
        <v>37</v>
      </c>
      <c r="B46" s="13" t="s">
        <v>323</v>
      </c>
      <c r="C46" s="44" t="s">
        <v>362</v>
      </c>
      <c r="D46" s="14">
        <v>5</v>
      </c>
      <c r="E46" s="45">
        <f>AVERAGE('3. Raw Data'!H182:H186)</f>
        <v>209.7965956211593</v>
      </c>
      <c r="F46" s="16">
        <f>STDEV('3. Raw Data'!H182:H186)</f>
        <v>3.2914942807113325</v>
      </c>
      <c r="G46" s="16">
        <f t="shared" si="0"/>
        <v>1.5688978512572986</v>
      </c>
      <c r="H46" s="16">
        <f t="shared" si="1"/>
        <v>4.0869299486528554</v>
      </c>
      <c r="I46" s="16">
        <f>AVERAGE('3. Raw Data'!I182:I186)</f>
        <v>216.54072023263925</v>
      </c>
      <c r="J46" s="16">
        <f>AVERAGE('3. Raw Data'!J182:J186)</f>
        <v>160.15961790230236</v>
      </c>
      <c r="K46" s="16">
        <f>AVERAGE('3. Raw Data'!K182:K186)</f>
        <v>110.34728957917278</v>
      </c>
      <c r="L46" s="16">
        <f>AVERAGE('3. Raw Data'!L182:L186)</f>
        <v>97.88683713022246</v>
      </c>
      <c r="M46" s="16">
        <f>AVERAGE('3. Raw Data'!M182:M186)</f>
        <v>40.941240544047503</v>
      </c>
      <c r="N46" s="16">
        <f>AVERAGE('3. Raw Data'!N182:N186)</f>
        <v>24.332357967849379</v>
      </c>
      <c r="O46" s="16">
        <f>AVERAGE('3. Raw Data'!O182:O186)</f>
        <v>386.84482576682876</v>
      </c>
      <c r="P46" s="16">
        <f>AVERAGE('3. Raw Data'!R182:R186)</f>
        <v>43.367381947505898</v>
      </c>
      <c r="Q46" s="16">
        <f>AVERAGE('3. Raw Data'!S182:S186)</f>
        <v>0.13901082643204632</v>
      </c>
      <c r="R46" s="16">
        <f>E46-E10</f>
        <v>-32.222783304904709</v>
      </c>
      <c r="S46" s="46">
        <f>(E46-E10)/E10*100</f>
        <v>-13.314133540830483</v>
      </c>
      <c r="T46" s="54">
        <f>TTEST('3. Raw Data'!H182:H186,'3. Raw Data'!H2:H6,2,3)</f>
        <v>1.046012949942732E-5</v>
      </c>
      <c r="U46" s="43" t="str">
        <f t="shared" si="3"/>
        <v>yes</v>
      </c>
      <c r="V46" s="14" t="str">
        <f t="shared" si="2"/>
        <v>Good</v>
      </c>
    </row>
    <row r="47" spans="1:22" x14ac:dyDescent="0.25">
      <c r="A47" s="49">
        <v>38</v>
      </c>
      <c r="B47" s="21" t="s">
        <v>325</v>
      </c>
      <c r="C47" s="50" t="s">
        <v>362</v>
      </c>
      <c r="D47" s="22">
        <v>5</v>
      </c>
      <c r="E47" s="51">
        <f>AVERAGE('3. Raw Data'!H187:H191)</f>
        <v>208.6708573991491</v>
      </c>
      <c r="F47" s="24">
        <f>STDEV('3. Raw Data'!H187:H191)</f>
        <v>0.69221237131691382</v>
      </c>
      <c r="G47" s="24">
        <f t="shared" si="0"/>
        <v>0.33172450621259414</v>
      </c>
      <c r="H47" s="24">
        <f t="shared" si="1"/>
        <v>0.8594951805754677</v>
      </c>
      <c r="I47" s="24">
        <f>AVERAGE('3. Raw Data'!I187:I191)</f>
        <v>212.46564208835906</v>
      </c>
      <c r="J47" s="24">
        <f>AVERAGE('3. Raw Data'!J187:J191)</f>
        <v>167.09006499674368</v>
      </c>
      <c r="K47" s="24">
        <f>AVERAGE('3. Raw Data'!K187:K191)</f>
        <v>151.31019480125008</v>
      </c>
      <c r="L47" s="24">
        <f>AVERAGE('3. Raw Data'!L187:L191)</f>
        <v>150.75359837268337</v>
      </c>
      <c r="M47" s="24">
        <f>AVERAGE('3. Raw Data'!M187:M191)</f>
        <v>80.007114254818148</v>
      </c>
      <c r="N47" s="24">
        <f>AVERAGE('3. Raw Data'!N187:N191)</f>
        <v>37.274542982319851</v>
      </c>
      <c r="O47" s="24">
        <f>AVERAGE('3. Raw Data'!O187:O191)</f>
        <v>366.14887861078057</v>
      </c>
      <c r="P47" s="24">
        <f>AVERAGE('3. Raw Data'!R187:R191)</f>
        <v>9.2454087037742259</v>
      </c>
      <c r="Q47" s="24">
        <f>AVERAGE('3. Raw Data'!S187:S191)</f>
        <v>2.2374628890770871E-2</v>
      </c>
      <c r="R47" s="24">
        <f>E47-E10</f>
        <v>-33.348521526914908</v>
      </c>
      <c r="S47" s="52">
        <f>(E47-E10)/E10*100</f>
        <v>-13.779277376421478</v>
      </c>
      <c r="T47" s="53">
        <f>TTEST('3. Raw Data'!H187:H191,'3. Raw Data'!H2:H6,2,3)</f>
        <v>5.7268205116544109E-12</v>
      </c>
      <c r="U47" s="49" t="str">
        <f t="shared" si="3"/>
        <v>yes</v>
      </c>
      <c r="V47" s="22" t="str">
        <f t="shared" si="2"/>
        <v>Excellent</v>
      </c>
    </row>
    <row r="48" spans="1:22" x14ac:dyDescent="0.25">
      <c r="A48" s="43">
        <v>39</v>
      </c>
      <c r="B48" s="13" t="s">
        <v>327</v>
      </c>
      <c r="C48" s="44" t="s">
        <v>362</v>
      </c>
      <c r="D48" s="14">
        <v>5</v>
      </c>
      <c r="E48" s="45">
        <f>AVERAGE('3. Raw Data'!H192:H196)</f>
        <v>207.34643329270042</v>
      </c>
      <c r="F48" s="16">
        <f>STDEV('3. Raw Data'!H192:H196)</f>
        <v>1.534261769402917</v>
      </c>
      <c r="G48" s="16">
        <f t="shared" si="0"/>
        <v>0.73995088559689748</v>
      </c>
      <c r="H48" s="16">
        <f t="shared" si="1"/>
        <v>1.9050376028880076</v>
      </c>
      <c r="I48" s="16">
        <f>AVERAGE('3. Raw Data'!I192:I196)</f>
        <v>211.02408873795389</v>
      </c>
      <c r="J48" s="16">
        <f>AVERAGE('3. Raw Data'!J192:J196)</f>
        <v>166.79723647849576</v>
      </c>
      <c r="K48" s="16">
        <f>AVERAGE('3. Raw Data'!K192:K196)</f>
        <v>150.64679082849005</v>
      </c>
      <c r="L48" s="16">
        <f>AVERAGE('3. Raw Data'!L192:L196)</f>
        <v>149.77267820134071</v>
      </c>
      <c r="M48" s="16">
        <f>AVERAGE('3. Raw Data'!M192:M196)</f>
        <v>77.34401477348419</v>
      </c>
      <c r="N48" s="16">
        <f>AVERAGE('3. Raw Data'!N192:N196)</f>
        <v>36.885784438857236</v>
      </c>
      <c r="O48" s="16">
        <f>AVERAGE('3. Raw Data'!O192:O196)</f>
        <v>355.56487147052957</v>
      </c>
      <c r="P48" s="16">
        <f>AVERAGE('3. Raw Data'!R192:R196)</f>
        <v>9.2034525994688945</v>
      </c>
      <c r="Q48" s="16">
        <f>AVERAGE('3. Raw Data'!S192:S196)</f>
        <v>2.0870362500412399E-2</v>
      </c>
      <c r="R48" s="16">
        <f>E48-E10</f>
        <v>-34.672945633363582</v>
      </c>
      <c r="S48" s="46">
        <f>(E48-E10)/E10*100</f>
        <v>-14.326516243129452</v>
      </c>
      <c r="T48" s="54">
        <f>TTEST('3. Raw Data'!H192:H196,'3. Raw Data'!H2:H6,2,3)</f>
        <v>4.9501927869620155E-9</v>
      </c>
      <c r="U48" s="43" t="str">
        <f t="shared" si="3"/>
        <v>yes</v>
      </c>
      <c r="V48" s="14" t="str">
        <f t="shared" si="2"/>
        <v>Excellent</v>
      </c>
    </row>
    <row r="50" spans="2:12" x14ac:dyDescent="0.25">
      <c r="B50" s="79" t="s">
        <v>365</v>
      </c>
      <c r="C50" s="72"/>
      <c r="D50" s="72"/>
      <c r="E50" s="72"/>
      <c r="F50" s="72"/>
      <c r="G50" s="72"/>
      <c r="H50" s="72"/>
      <c r="I50" s="72"/>
      <c r="J50" s="72"/>
      <c r="K50" s="72"/>
      <c r="L50" s="72"/>
    </row>
    <row r="51" spans="2:12" x14ac:dyDescent="0.25">
      <c r="B51" s="79" t="s">
        <v>366</v>
      </c>
      <c r="C51" s="72"/>
      <c r="D51" s="72"/>
      <c r="E51" s="72"/>
      <c r="F51" s="72"/>
      <c r="G51" s="72"/>
      <c r="H51" s="72"/>
      <c r="I51" s="72"/>
      <c r="J51" s="72"/>
      <c r="K51" s="72"/>
      <c r="L51" s="72"/>
    </row>
    <row r="52" spans="2:12" x14ac:dyDescent="0.25">
      <c r="B52" s="79" t="s">
        <v>367</v>
      </c>
      <c r="C52" s="72"/>
      <c r="D52" s="72"/>
      <c r="E52" s="72"/>
      <c r="F52" s="72"/>
      <c r="G52" s="72"/>
      <c r="H52" s="72"/>
      <c r="I52" s="72"/>
      <c r="J52" s="72"/>
      <c r="K52" s="72"/>
      <c r="L52" s="72"/>
    </row>
    <row r="53" spans="2:12" x14ac:dyDescent="0.25">
      <c r="B53" s="79" t="s">
        <v>368</v>
      </c>
      <c r="C53" s="72"/>
      <c r="D53" s="72"/>
      <c r="E53" s="72"/>
      <c r="F53" s="72"/>
      <c r="G53" s="72"/>
      <c r="H53" s="72"/>
      <c r="I53" s="72"/>
      <c r="J53" s="72"/>
      <c r="K53" s="72"/>
      <c r="L53" s="72"/>
    </row>
    <row r="54" spans="2:12" x14ac:dyDescent="0.25">
      <c r="B54" s="79" t="s">
        <v>369</v>
      </c>
      <c r="C54" s="72"/>
      <c r="D54" s="72"/>
      <c r="E54" s="72"/>
      <c r="F54" s="72"/>
      <c r="G54" s="72"/>
      <c r="H54" s="72"/>
      <c r="I54" s="72"/>
      <c r="J54" s="72"/>
      <c r="K54" s="72"/>
      <c r="L54" s="72"/>
    </row>
    <row r="55" spans="2:12" x14ac:dyDescent="0.25">
      <c r="B55" s="79" t="s">
        <v>370</v>
      </c>
      <c r="C55" s="72"/>
      <c r="D55" s="72"/>
      <c r="E55" s="72"/>
      <c r="F55" s="72"/>
      <c r="G55" s="72"/>
      <c r="H55" s="72"/>
      <c r="I55" s="72"/>
      <c r="J55" s="72"/>
      <c r="K55" s="72"/>
      <c r="L55" s="72"/>
    </row>
    <row r="56" spans="2:12" x14ac:dyDescent="0.25">
      <c r="B56" s="79" t="s">
        <v>371</v>
      </c>
      <c r="C56" s="72"/>
      <c r="D56" s="72"/>
      <c r="E56" s="72"/>
      <c r="F56" s="72"/>
      <c r="G56" s="72"/>
      <c r="H56" s="72"/>
      <c r="I56" s="72"/>
      <c r="J56" s="72"/>
      <c r="K56" s="72"/>
      <c r="L56" s="72"/>
    </row>
  </sheetData>
  <mergeCells count="17">
    <mergeCell ref="B56:L56"/>
    <mergeCell ref="B6:D6"/>
    <mergeCell ref="E6:G6"/>
    <mergeCell ref="H6:J6"/>
    <mergeCell ref="B50:L50"/>
    <mergeCell ref="B53:L53"/>
    <mergeCell ref="B52:L52"/>
    <mergeCell ref="B54:L54"/>
    <mergeCell ref="K6:M6"/>
    <mergeCell ref="B55:L55"/>
    <mergeCell ref="N6:P6"/>
    <mergeCell ref="B51:L51"/>
    <mergeCell ref="N5:P5"/>
    <mergeCell ref="B5:D5"/>
    <mergeCell ref="E5:G5"/>
    <mergeCell ref="K5:M5"/>
    <mergeCell ref="H5:J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I375"/>
  <sheetViews>
    <sheetView showGridLines="0" workbookViewId="0">
      <selection activeCell="R21" sqref="R21"/>
    </sheetView>
  </sheetViews>
  <sheetFormatPr defaultRowHeight="15" x14ac:dyDescent="0.25"/>
  <cols>
    <col min="1" max="1" width="2" customWidth="1"/>
  </cols>
  <sheetData>
    <row r="2" spans="2:35" ht="19.5" x14ac:dyDescent="0.3">
      <c r="B2" s="37" t="s">
        <v>372</v>
      </c>
    </row>
    <row r="3" spans="2:35" x14ac:dyDescent="0.25">
      <c r="B3" s="38" t="s">
        <v>373</v>
      </c>
    </row>
    <row r="5" spans="2:35" ht="15.75" x14ac:dyDescent="0.25">
      <c r="B5" s="87" t="s">
        <v>374</v>
      </c>
      <c r="C5" s="72"/>
      <c r="D5" s="72"/>
      <c r="E5" s="72"/>
      <c r="F5" s="72"/>
      <c r="G5" s="72"/>
      <c r="H5" s="72"/>
      <c r="I5" s="72"/>
      <c r="J5" s="72"/>
      <c r="K5" s="72"/>
      <c r="L5" s="72"/>
      <c r="M5" s="72"/>
      <c r="N5" s="72"/>
    </row>
    <row r="6" spans="2:35" ht="30" customHeight="1" x14ac:dyDescent="0.25">
      <c r="B6" s="88" t="s">
        <v>375</v>
      </c>
      <c r="C6" s="72"/>
      <c r="D6" s="72"/>
      <c r="E6" s="72"/>
      <c r="F6" s="72"/>
      <c r="G6" s="72"/>
      <c r="H6" s="72"/>
      <c r="I6" s="72"/>
      <c r="J6" s="72"/>
      <c r="K6" s="72"/>
      <c r="L6" s="72"/>
      <c r="M6" s="72"/>
      <c r="N6" s="72"/>
    </row>
    <row r="7" spans="2:35" x14ac:dyDescent="0.25">
      <c r="AB7" s="61" t="s">
        <v>376</v>
      </c>
      <c r="AE7" s="61" t="s">
        <v>377</v>
      </c>
    </row>
    <row r="8" spans="2:35" x14ac:dyDescent="0.25">
      <c r="AB8" s="62" t="s">
        <v>378</v>
      </c>
      <c r="AE8" s="63" t="s">
        <v>379</v>
      </c>
      <c r="AF8" s="63" t="s">
        <v>378</v>
      </c>
      <c r="AG8" s="63" t="s">
        <v>380</v>
      </c>
      <c r="AH8" s="63" t="s">
        <v>381</v>
      </c>
      <c r="AI8" s="63" t="s">
        <v>382</v>
      </c>
    </row>
    <row r="9" spans="2:35" x14ac:dyDescent="0.25">
      <c r="AB9" s="62" t="s">
        <v>380</v>
      </c>
      <c r="AE9" s="62">
        <v>1</v>
      </c>
      <c r="AF9" s="62">
        <v>247</v>
      </c>
      <c r="AG9" s="62">
        <v>233</v>
      </c>
      <c r="AH9" s="62">
        <v>242</v>
      </c>
      <c r="AI9" s="62">
        <v>224</v>
      </c>
    </row>
    <row r="10" spans="2:35" x14ac:dyDescent="0.25">
      <c r="AB10" s="62" t="s">
        <v>381</v>
      </c>
      <c r="AE10" s="62">
        <v>2</v>
      </c>
      <c r="AF10" s="62">
        <v>242</v>
      </c>
      <c r="AG10" s="62">
        <v>233</v>
      </c>
      <c r="AH10" s="62">
        <v>244</v>
      </c>
      <c r="AI10" s="62">
        <v>224</v>
      </c>
    </row>
    <row r="11" spans="2:35" x14ac:dyDescent="0.25">
      <c r="AB11" s="62" t="s">
        <v>383</v>
      </c>
      <c r="AE11" s="62">
        <v>3</v>
      </c>
      <c r="AF11" s="62">
        <v>245</v>
      </c>
      <c r="AG11" s="62">
        <v>242</v>
      </c>
      <c r="AH11" s="62">
        <v>241</v>
      </c>
      <c r="AI11" s="62">
        <v>228</v>
      </c>
    </row>
    <row r="12" spans="2:35" x14ac:dyDescent="0.25">
      <c r="AB12" s="62" t="s">
        <v>384</v>
      </c>
      <c r="AE12" s="62">
        <v>4</v>
      </c>
      <c r="AF12" s="62">
        <v>243</v>
      </c>
      <c r="AG12" s="62">
        <v>242</v>
      </c>
      <c r="AH12" s="62">
        <v>242</v>
      </c>
      <c r="AI12" s="62">
        <v>227</v>
      </c>
    </row>
    <row r="13" spans="2:35" x14ac:dyDescent="0.25">
      <c r="AB13" s="62" t="s">
        <v>385</v>
      </c>
      <c r="AE13" s="62">
        <v>5</v>
      </c>
      <c r="AF13" s="62">
        <v>244</v>
      </c>
      <c r="AG13" s="62">
        <v>240</v>
      </c>
      <c r="AH13" s="62">
        <v>234</v>
      </c>
      <c r="AI13" s="62">
        <v>226</v>
      </c>
    </row>
    <row r="14" spans="2:35" x14ac:dyDescent="0.25">
      <c r="AB14" s="62" t="s">
        <v>386</v>
      </c>
      <c r="AE14" s="62">
        <v>6</v>
      </c>
      <c r="AF14" s="62">
        <v>241</v>
      </c>
      <c r="AG14" s="62">
        <v>241</v>
      </c>
      <c r="AH14" s="62">
        <v>237</v>
      </c>
      <c r="AI14" s="62">
        <v>230</v>
      </c>
    </row>
    <row r="15" spans="2:35" x14ac:dyDescent="0.25">
      <c r="AB15" s="62" t="s">
        <v>387</v>
      </c>
      <c r="AE15" s="62">
        <v>7</v>
      </c>
      <c r="AF15" s="62">
        <v>235</v>
      </c>
      <c r="AG15" s="62">
        <v>242</v>
      </c>
      <c r="AH15" s="62">
        <v>242</v>
      </c>
      <c r="AI15" s="62">
        <v>226</v>
      </c>
    </row>
    <row r="16" spans="2:35" x14ac:dyDescent="0.25">
      <c r="AB16" s="62" t="s">
        <v>388</v>
      </c>
      <c r="AE16" s="62">
        <v>8</v>
      </c>
      <c r="AF16" s="62">
        <v>245</v>
      </c>
      <c r="AG16" s="62">
        <v>236</v>
      </c>
      <c r="AH16" s="62">
        <v>239</v>
      </c>
      <c r="AI16" s="62">
        <v>229</v>
      </c>
    </row>
    <row r="17" spans="28:35" x14ac:dyDescent="0.25">
      <c r="AB17" s="62" t="s">
        <v>389</v>
      </c>
      <c r="AE17" s="62">
        <v>9</v>
      </c>
      <c r="AF17" s="62">
        <v>244</v>
      </c>
      <c r="AG17" s="62">
        <v>239</v>
      </c>
      <c r="AH17" s="62">
        <v>240</v>
      </c>
      <c r="AI17" s="62">
        <v>228</v>
      </c>
    </row>
    <row r="18" spans="28:35" x14ac:dyDescent="0.25">
      <c r="AB18" s="62" t="s">
        <v>390</v>
      </c>
      <c r="AE18" s="62">
        <v>10</v>
      </c>
      <c r="AF18" s="62">
        <v>243</v>
      </c>
      <c r="AG18" s="62">
        <v>241</v>
      </c>
      <c r="AH18" s="62">
        <v>243</v>
      </c>
      <c r="AI18" s="62">
        <v>228</v>
      </c>
    </row>
    <row r="19" spans="28:35" x14ac:dyDescent="0.25">
      <c r="AB19" s="62" t="s">
        <v>274</v>
      </c>
      <c r="AE19" s="62">
        <v>11</v>
      </c>
      <c r="AF19" s="62">
        <v>242</v>
      </c>
      <c r="AG19" s="62">
        <v>239</v>
      </c>
      <c r="AH19" s="62">
        <v>238</v>
      </c>
      <c r="AI19" s="62">
        <v>226</v>
      </c>
    </row>
    <row r="20" spans="28:35" x14ac:dyDescent="0.25">
      <c r="AB20" s="62" t="s">
        <v>391</v>
      </c>
      <c r="AE20" s="62">
        <v>12</v>
      </c>
      <c r="AF20" s="62">
        <v>243</v>
      </c>
      <c r="AG20" s="62">
        <v>239</v>
      </c>
      <c r="AH20" s="62">
        <v>239</v>
      </c>
      <c r="AI20" s="62">
        <v>226</v>
      </c>
    </row>
    <row r="21" spans="28:35" x14ac:dyDescent="0.25">
      <c r="AB21" s="62" t="s">
        <v>392</v>
      </c>
      <c r="AE21" s="62">
        <v>13</v>
      </c>
      <c r="AF21" s="62">
        <v>242</v>
      </c>
      <c r="AG21" s="62">
        <v>239</v>
      </c>
      <c r="AH21" s="62">
        <v>237</v>
      </c>
      <c r="AI21" s="62">
        <v>228</v>
      </c>
    </row>
    <row r="22" spans="28:35" x14ac:dyDescent="0.25">
      <c r="AB22" s="62" t="s">
        <v>280</v>
      </c>
      <c r="AE22" s="62">
        <v>14</v>
      </c>
      <c r="AF22" s="62">
        <v>241</v>
      </c>
      <c r="AG22" s="62">
        <v>236</v>
      </c>
      <c r="AH22" s="62">
        <v>230</v>
      </c>
      <c r="AI22" s="62">
        <v>229</v>
      </c>
    </row>
    <row r="23" spans="28:35" x14ac:dyDescent="0.25">
      <c r="AB23" s="62" t="s">
        <v>393</v>
      </c>
      <c r="AE23" s="62">
        <v>15</v>
      </c>
      <c r="AF23" s="62">
        <v>244</v>
      </c>
      <c r="AG23" s="62">
        <v>240</v>
      </c>
      <c r="AH23" s="62">
        <v>234</v>
      </c>
      <c r="AI23" s="62">
        <v>229</v>
      </c>
    </row>
    <row r="24" spans="28:35" x14ac:dyDescent="0.25">
      <c r="AB24" s="62" t="s">
        <v>284</v>
      </c>
      <c r="AE24" s="62">
        <v>16</v>
      </c>
      <c r="AF24" s="62">
        <v>245</v>
      </c>
      <c r="AG24" s="62">
        <v>242</v>
      </c>
      <c r="AH24" s="62">
        <v>239</v>
      </c>
      <c r="AI24" s="62">
        <v>227</v>
      </c>
    </row>
    <row r="25" spans="28:35" x14ac:dyDescent="0.25">
      <c r="AB25" s="62" t="s">
        <v>394</v>
      </c>
      <c r="AE25" s="62">
        <v>17</v>
      </c>
      <c r="AF25" s="62">
        <v>245</v>
      </c>
      <c r="AG25" s="62">
        <v>241</v>
      </c>
      <c r="AH25" s="62">
        <v>241</v>
      </c>
      <c r="AI25" s="62">
        <v>229</v>
      </c>
    </row>
    <row r="26" spans="28:35" x14ac:dyDescent="0.25">
      <c r="AB26" s="62" t="s">
        <v>288</v>
      </c>
      <c r="AE26" s="62">
        <v>18</v>
      </c>
      <c r="AF26" s="62">
        <v>247</v>
      </c>
      <c r="AG26" s="62">
        <v>237</v>
      </c>
      <c r="AH26" s="62">
        <v>243</v>
      </c>
      <c r="AI26" s="62">
        <v>227</v>
      </c>
    </row>
    <row r="27" spans="28:35" x14ac:dyDescent="0.25">
      <c r="AB27" s="62" t="s">
        <v>290</v>
      </c>
      <c r="AE27" s="62">
        <v>19</v>
      </c>
      <c r="AF27" s="62">
        <v>245</v>
      </c>
      <c r="AG27" s="62">
        <v>240</v>
      </c>
      <c r="AH27" s="62">
        <v>240</v>
      </c>
      <c r="AI27" s="62">
        <v>229</v>
      </c>
    </row>
    <row r="28" spans="28:35" x14ac:dyDescent="0.25">
      <c r="AB28" s="62" t="s">
        <v>395</v>
      </c>
      <c r="AE28" s="62">
        <v>20</v>
      </c>
      <c r="AF28" s="62">
        <v>241</v>
      </c>
      <c r="AG28" s="62">
        <v>240</v>
      </c>
      <c r="AH28" s="62">
        <v>239</v>
      </c>
      <c r="AI28" s="62">
        <v>229</v>
      </c>
    </row>
    <row r="29" spans="28:35" x14ac:dyDescent="0.25">
      <c r="AB29" s="62" t="s">
        <v>396</v>
      </c>
      <c r="AE29" s="62">
        <v>21</v>
      </c>
      <c r="AF29" s="62">
        <v>238</v>
      </c>
      <c r="AG29" s="62">
        <v>241</v>
      </c>
      <c r="AH29" s="62">
        <v>238</v>
      </c>
      <c r="AI29" s="62">
        <v>225</v>
      </c>
    </row>
    <row r="30" spans="28:35" x14ac:dyDescent="0.25">
      <c r="AB30" s="62" t="s">
        <v>397</v>
      </c>
      <c r="AE30" s="62">
        <v>22</v>
      </c>
      <c r="AF30" s="62">
        <v>244</v>
      </c>
      <c r="AG30" s="62">
        <v>239</v>
      </c>
      <c r="AH30" s="62">
        <v>239</v>
      </c>
      <c r="AI30" s="62">
        <v>228</v>
      </c>
    </row>
    <row r="31" spans="28:35" x14ac:dyDescent="0.25">
      <c r="AB31" s="62" t="s">
        <v>398</v>
      </c>
      <c r="AE31" s="62">
        <v>23</v>
      </c>
      <c r="AF31" s="62">
        <v>246</v>
      </c>
      <c r="AG31" s="62">
        <v>241</v>
      </c>
      <c r="AH31" s="62">
        <v>242</v>
      </c>
      <c r="AI31" s="62">
        <v>228</v>
      </c>
    </row>
    <row r="32" spans="28:35" x14ac:dyDescent="0.25">
      <c r="AB32" s="62" t="s">
        <v>300</v>
      </c>
      <c r="AE32" s="62">
        <v>24</v>
      </c>
      <c r="AF32" s="62">
        <v>244</v>
      </c>
      <c r="AG32" s="62">
        <v>242</v>
      </c>
      <c r="AH32" s="62">
        <v>238</v>
      </c>
      <c r="AI32" s="62">
        <v>227</v>
      </c>
    </row>
    <row r="33" spans="28:35" x14ac:dyDescent="0.25">
      <c r="AB33" s="62" t="s">
        <v>399</v>
      </c>
      <c r="AE33" s="62">
        <v>25</v>
      </c>
      <c r="AF33" s="62">
        <v>245</v>
      </c>
      <c r="AG33" s="62">
        <v>242</v>
      </c>
      <c r="AH33" s="62">
        <v>231</v>
      </c>
      <c r="AI33" s="62">
        <v>226</v>
      </c>
    </row>
    <row r="34" spans="28:35" x14ac:dyDescent="0.25">
      <c r="AB34" s="62" t="s">
        <v>400</v>
      </c>
      <c r="AE34" s="62">
        <v>26</v>
      </c>
      <c r="AF34" s="62">
        <v>246</v>
      </c>
      <c r="AG34" s="62">
        <v>241</v>
      </c>
      <c r="AH34" s="62">
        <v>242</v>
      </c>
      <c r="AI34" s="62">
        <v>229</v>
      </c>
    </row>
    <row r="35" spans="28:35" x14ac:dyDescent="0.25">
      <c r="AB35" s="62" t="s">
        <v>401</v>
      </c>
      <c r="AE35" s="62">
        <v>27</v>
      </c>
      <c r="AF35" s="62">
        <v>244</v>
      </c>
      <c r="AG35" s="62">
        <v>243</v>
      </c>
      <c r="AH35" s="62">
        <v>241</v>
      </c>
      <c r="AI35" s="62">
        <v>227</v>
      </c>
    </row>
    <row r="36" spans="28:35" x14ac:dyDescent="0.25">
      <c r="AB36" s="62" t="s">
        <v>402</v>
      </c>
      <c r="AE36" s="62">
        <v>28</v>
      </c>
      <c r="AF36" s="62">
        <v>246</v>
      </c>
      <c r="AG36" s="62">
        <v>235</v>
      </c>
      <c r="AH36" s="62">
        <v>241</v>
      </c>
      <c r="AI36" s="62">
        <v>229</v>
      </c>
    </row>
    <row r="37" spans="28:35" x14ac:dyDescent="0.25">
      <c r="AB37" s="62" t="s">
        <v>403</v>
      </c>
      <c r="AE37" s="62">
        <v>29</v>
      </c>
      <c r="AF37" s="62">
        <v>244</v>
      </c>
      <c r="AG37" s="62">
        <v>241</v>
      </c>
      <c r="AH37" s="62">
        <v>238</v>
      </c>
      <c r="AI37" s="62">
        <v>230</v>
      </c>
    </row>
    <row r="38" spans="28:35" x14ac:dyDescent="0.25">
      <c r="AB38" s="62" t="s">
        <v>382</v>
      </c>
      <c r="AE38" s="62">
        <v>30</v>
      </c>
      <c r="AF38" s="62">
        <v>241</v>
      </c>
      <c r="AG38" s="62">
        <v>238</v>
      </c>
      <c r="AH38" s="62">
        <v>239</v>
      </c>
      <c r="AI38" s="62">
        <v>225</v>
      </c>
    </row>
    <row r="39" spans="28:35" x14ac:dyDescent="0.25">
      <c r="AB39" s="62" t="s">
        <v>404</v>
      </c>
      <c r="AE39" s="62">
        <v>31</v>
      </c>
      <c r="AF39" s="62">
        <v>244</v>
      </c>
      <c r="AG39" s="62">
        <v>241</v>
      </c>
      <c r="AH39" s="62">
        <v>240</v>
      </c>
      <c r="AI39" s="62">
        <v>224</v>
      </c>
    </row>
    <row r="40" spans="28:35" x14ac:dyDescent="0.25">
      <c r="AB40" s="62" t="s">
        <v>405</v>
      </c>
      <c r="AE40" s="62">
        <v>32</v>
      </c>
      <c r="AF40" s="62">
        <v>244</v>
      </c>
      <c r="AG40" s="62">
        <v>241</v>
      </c>
      <c r="AH40" s="62">
        <v>242</v>
      </c>
      <c r="AI40" s="62">
        <v>224</v>
      </c>
    </row>
    <row r="41" spans="28:35" x14ac:dyDescent="0.25">
      <c r="AB41" s="62" t="s">
        <v>406</v>
      </c>
      <c r="AE41" s="62">
        <v>33</v>
      </c>
      <c r="AF41" s="62">
        <v>245</v>
      </c>
      <c r="AG41" s="62">
        <v>241</v>
      </c>
      <c r="AH41" s="62">
        <v>243</v>
      </c>
      <c r="AI41" s="62">
        <v>225</v>
      </c>
    </row>
    <row r="42" spans="28:35" x14ac:dyDescent="0.25">
      <c r="AB42" s="62" t="s">
        <v>407</v>
      </c>
      <c r="AE42" s="62">
        <v>34</v>
      </c>
      <c r="AF42" s="62">
        <v>245</v>
      </c>
      <c r="AG42" s="62">
        <v>240</v>
      </c>
      <c r="AH42" s="62">
        <v>240</v>
      </c>
      <c r="AI42" s="62">
        <v>228</v>
      </c>
    </row>
    <row r="43" spans="28:35" x14ac:dyDescent="0.25">
      <c r="AB43" s="62" t="s">
        <v>408</v>
      </c>
      <c r="AE43" s="62">
        <v>35</v>
      </c>
      <c r="AF43" s="62">
        <v>248</v>
      </c>
      <c r="AG43" s="62">
        <v>238</v>
      </c>
      <c r="AH43" s="62">
        <v>237</v>
      </c>
      <c r="AI43" s="62">
        <v>221</v>
      </c>
    </row>
    <row r="44" spans="28:35" x14ac:dyDescent="0.25">
      <c r="AB44" s="62" t="s">
        <v>409</v>
      </c>
      <c r="AE44" s="62">
        <v>36</v>
      </c>
      <c r="AF44" s="62">
        <v>242</v>
      </c>
      <c r="AG44" s="62">
        <v>241</v>
      </c>
      <c r="AH44" s="62">
        <v>241</v>
      </c>
      <c r="AI44" s="62">
        <v>230</v>
      </c>
    </row>
    <row r="45" spans="28:35" x14ac:dyDescent="0.25">
      <c r="AB45" s="62" t="s">
        <v>410</v>
      </c>
      <c r="AE45" s="62">
        <v>37</v>
      </c>
      <c r="AF45" s="62">
        <v>243</v>
      </c>
      <c r="AG45" s="62">
        <v>241</v>
      </c>
      <c r="AH45" s="62">
        <v>241</v>
      </c>
      <c r="AI45" s="62">
        <v>225</v>
      </c>
    </row>
    <row r="46" spans="28:35" x14ac:dyDescent="0.25">
      <c r="AB46" s="62" t="s">
        <v>411</v>
      </c>
      <c r="AE46" s="62">
        <v>38</v>
      </c>
      <c r="AF46" s="62">
        <v>245</v>
      </c>
      <c r="AG46" s="62">
        <v>234</v>
      </c>
      <c r="AH46" s="62">
        <v>240</v>
      </c>
      <c r="AI46" s="62">
        <v>228</v>
      </c>
    </row>
    <row r="47" spans="28:35" x14ac:dyDescent="0.25">
      <c r="AE47" s="62">
        <v>39</v>
      </c>
      <c r="AF47" s="62">
        <v>244</v>
      </c>
      <c r="AG47" s="62">
        <v>242</v>
      </c>
      <c r="AH47" s="62">
        <v>240</v>
      </c>
      <c r="AI47" s="62">
        <v>228</v>
      </c>
    </row>
    <row r="48" spans="28:35" x14ac:dyDescent="0.25">
      <c r="AE48" s="62">
        <v>40</v>
      </c>
      <c r="AF48" s="62">
        <v>240</v>
      </c>
      <c r="AG48" s="62">
        <v>240</v>
      </c>
      <c r="AH48" s="62">
        <v>240</v>
      </c>
      <c r="AI48" s="62">
        <v>227</v>
      </c>
    </row>
    <row r="49" spans="31:35" x14ac:dyDescent="0.25">
      <c r="AE49" s="62">
        <v>41</v>
      </c>
      <c r="AF49" s="62">
        <v>244</v>
      </c>
      <c r="AG49" s="62">
        <v>239</v>
      </c>
      <c r="AH49" s="62">
        <v>241</v>
      </c>
      <c r="AI49" s="62">
        <v>222</v>
      </c>
    </row>
    <row r="50" spans="31:35" x14ac:dyDescent="0.25">
      <c r="AE50" s="62">
        <v>42</v>
      </c>
      <c r="AF50" s="62">
        <v>244</v>
      </c>
      <c r="AG50" s="62">
        <v>239</v>
      </c>
      <c r="AH50" s="62">
        <v>240</v>
      </c>
      <c r="AI50" s="62">
        <v>225</v>
      </c>
    </row>
    <row r="51" spans="31:35" x14ac:dyDescent="0.25">
      <c r="AE51" s="62">
        <v>43</v>
      </c>
      <c r="AF51" s="62">
        <v>245</v>
      </c>
      <c r="AG51" s="62">
        <v>239</v>
      </c>
      <c r="AH51" s="62">
        <v>242</v>
      </c>
      <c r="AI51" s="62">
        <v>228</v>
      </c>
    </row>
    <row r="52" spans="31:35" x14ac:dyDescent="0.25">
      <c r="AE52" s="62">
        <v>44</v>
      </c>
      <c r="AF52" s="62">
        <v>248</v>
      </c>
      <c r="AG52" s="62">
        <v>231</v>
      </c>
      <c r="AH52" s="62">
        <v>239</v>
      </c>
      <c r="AI52" s="62">
        <v>229</v>
      </c>
    </row>
    <row r="53" spans="31:35" x14ac:dyDescent="0.25">
      <c r="AE53" s="62">
        <v>45</v>
      </c>
      <c r="AF53" s="62">
        <v>243</v>
      </c>
      <c r="AG53" s="62">
        <v>241</v>
      </c>
      <c r="AH53" s="62">
        <v>237</v>
      </c>
      <c r="AI53" s="62">
        <v>228</v>
      </c>
    </row>
    <row r="54" spans="31:35" x14ac:dyDescent="0.25">
      <c r="AE54" s="62">
        <v>46</v>
      </c>
      <c r="AF54" s="62">
        <v>243</v>
      </c>
      <c r="AG54" s="62">
        <v>241</v>
      </c>
      <c r="AH54" s="62">
        <v>240</v>
      </c>
      <c r="AI54" s="62">
        <v>229</v>
      </c>
    </row>
    <row r="55" spans="31:35" x14ac:dyDescent="0.25">
      <c r="AE55" s="62">
        <v>47</v>
      </c>
      <c r="AF55" s="62">
        <v>239</v>
      </c>
      <c r="AG55" s="62">
        <v>242</v>
      </c>
      <c r="AH55" s="62">
        <v>241</v>
      </c>
      <c r="AI55" s="62">
        <v>229</v>
      </c>
    </row>
    <row r="56" spans="31:35" x14ac:dyDescent="0.25">
      <c r="AE56" s="62">
        <v>48</v>
      </c>
      <c r="AF56" s="62">
        <v>243</v>
      </c>
      <c r="AG56" s="62">
        <v>239</v>
      </c>
      <c r="AH56" s="62">
        <v>238</v>
      </c>
      <c r="AI56" s="62">
        <v>227</v>
      </c>
    </row>
    <row r="57" spans="31:35" x14ac:dyDescent="0.25">
      <c r="AE57" s="62">
        <v>49</v>
      </c>
      <c r="AF57" s="62">
        <v>245</v>
      </c>
      <c r="AG57" s="62">
        <v>242</v>
      </c>
      <c r="AH57" s="62">
        <v>240</v>
      </c>
      <c r="AI57" s="62">
        <v>226</v>
      </c>
    </row>
    <row r="58" spans="31:35" x14ac:dyDescent="0.25">
      <c r="AE58" s="62">
        <v>50</v>
      </c>
      <c r="AF58" s="62">
        <v>239</v>
      </c>
      <c r="AG58" s="62">
        <v>243</v>
      </c>
      <c r="AH58" s="62">
        <v>240</v>
      </c>
      <c r="AI58" s="62">
        <v>225</v>
      </c>
    </row>
    <row r="59" spans="31:35" x14ac:dyDescent="0.25">
      <c r="AE59" s="62">
        <v>51</v>
      </c>
      <c r="AF59" s="62">
        <v>234</v>
      </c>
      <c r="AG59" s="62">
        <v>244</v>
      </c>
      <c r="AH59" s="62">
        <v>240</v>
      </c>
      <c r="AI59" s="62">
        <v>225</v>
      </c>
    </row>
    <row r="60" spans="31:35" x14ac:dyDescent="0.25">
      <c r="AE60" s="62">
        <v>52</v>
      </c>
      <c r="AF60" s="62">
        <v>234</v>
      </c>
      <c r="AG60" s="62">
        <v>240</v>
      </c>
      <c r="AH60" s="62">
        <v>240</v>
      </c>
      <c r="AI60" s="62">
        <v>226</v>
      </c>
    </row>
    <row r="61" spans="31:35" x14ac:dyDescent="0.25">
      <c r="AE61" s="62">
        <v>53</v>
      </c>
      <c r="AF61" s="62">
        <v>232</v>
      </c>
      <c r="AG61" s="62">
        <v>240</v>
      </c>
      <c r="AH61" s="62">
        <v>237</v>
      </c>
      <c r="AI61" s="62">
        <v>228</v>
      </c>
    </row>
    <row r="62" spans="31:35" x14ac:dyDescent="0.25">
      <c r="AE62" s="62">
        <v>54</v>
      </c>
      <c r="AF62" s="62">
        <v>233</v>
      </c>
      <c r="AG62" s="62">
        <v>240</v>
      </c>
      <c r="AH62" s="62">
        <v>234</v>
      </c>
      <c r="AI62" s="62">
        <v>228</v>
      </c>
    </row>
    <row r="63" spans="31:35" x14ac:dyDescent="0.25">
      <c r="AE63" s="62">
        <v>55</v>
      </c>
      <c r="AF63" s="62">
        <v>232</v>
      </c>
      <c r="AG63" s="62">
        <v>241</v>
      </c>
      <c r="AH63" s="62">
        <v>235</v>
      </c>
      <c r="AI63" s="62">
        <v>229</v>
      </c>
    </row>
    <row r="64" spans="31:35" x14ac:dyDescent="0.25">
      <c r="AE64" s="62">
        <v>56</v>
      </c>
      <c r="AF64" s="62">
        <v>231</v>
      </c>
      <c r="AG64" s="62">
        <v>239</v>
      </c>
      <c r="AH64" s="62">
        <v>239</v>
      </c>
      <c r="AI64" s="62">
        <v>228</v>
      </c>
    </row>
    <row r="65" spans="2:35" x14ac:dyDescent="0.25">
      <c r="AE65" s="62">
        <v>57</v>
      </c>
      <c r="AF65" s="62">
        <v>230</v>
      </c>
      <c r="AG65" s="62">
        <v>242</v>
      </c>
      <c r="AH65" s="62">
        <v>239</v>
      </c>
      <c r="AI65" s="62">
        <v>224</v>
      </c>
    </row>
    <row r="66" spans="2:35" x14ac:dyDescent="0.25">
      <c r="AE66" s="62">
        <v>58</v>
      </c>
      <c r="AF66" s="62">
        <v>232</v>
      </c>
      <c r="AG66" s="62">
        <v>235</v>
      </c>
      <c r="AH66" s="62">
        <v>241</v>
      </c>
      <c r="AI66" s="62">
        <v>226</v>
      </c>
    </row>
    <row r="67" spans="2:35" x14ac:dyDescent="0.25">
      <c r="AE67" s="62">
        <v>59</v>
      </c>
      <c r="AF67" s="62">
        <v>235</v>
      </c>
      <c r="AG67" s="62">
        <v>244</v>
      </c>
      <c r="AH67" s="62">
        <v>237</v>
      </c>
      <c r="AI67" s="62">
        <v>225</v>
      </c>
    </row>
    <row r="68" spans="2:35" x14ac:dyDescent="0.25">
      <c r="AE68" s="62">
        <v>60</v>
      </c>
      <c r="AF68" s="62">
        <v>232</v>
      </c>
      <c r="AG68" s="62">
        <v>232</v>
      </c>
      <c r="AH68" s="62">
        <v>228</v>
      </c>
      <c r="AI68" s="62">
        <v>224</v>
      </c>
    </row>
    <row r="80" spans="2:35" ht="15.75" x14ac:dyDescent="0.25">
      <c r="B80" s="87" t="s">
        <v>412</v>
      </c>
      <c r="C80" s="72"/>
      <c r="D80" s="72"/>
      <c r="E80" s="72"/>
      <c r="F80" s="72"/>
      <c r="G80" s="72"/>
      <c r="H80" s="72"/>
      <c r="I80" s="72"/>
      <c r="J80" s="72"/>
      <c r="K80" s="72"/>
      <c r="L80" s="72"/>
      <c r="M80" s="72"/>
      <c r="N80" s="72"/>
    </row>
    <row r="81" spans="2:14" ht="30" customHeight="1" x14ac:dyDescent="0.25">
      <c r="B81" s="88" t="s">
        <v>413</v>
      </c>
      <c r="C81" s="72"/>
      <c r="D81" s="72"/>
      <c r="E81" s="72"/>
      <c r="F81" s="72"/>
      <c r="G81" s="72"/>
      <c r="H81" s="72"/>
      <c r="I81" s="72"/>
      <c r="J81" s="72"/>
      <c r="K81" s="72"/>
      <c r="L81" s="72"/>
      <c r="M81" s="72"/>
      <c r="N81" s="72"/>
    </row>
    <row r="151" spans="1:13" ht="15.75" x14ac:dyDescent="0.25">
      <c r="A151" s="87" t="s">
        <v>414</v>
      </c>
      <c r="B151" s="72"/>
      <c r="C151" s="72"/>
      <c r="D151" s="72"/>
      <c r="E151" s="72"/>
      <c r="F151" s="72"/>
      <c r="G151" s="72"/>
      <c r="H151" s="72"/>
      <c r="I151" s="72"/>
      <c r="J151" s="72"/>
      <c r="K151" s="72"/>
      <c r="L151" s="72"/>
      <c r="M151" s="72"/>
    </row>
    <row r="152" spans="1:13" x14ac:dyDescent="0.25">
      <c r="A152" s="88" t="s">
        <v>415</v>
      </c>
      <c r="B152" s="72"/>
      <c r="C152" s="72"/>
      <c r="D152" s="72"/>
      <c r="E152" s="72"/>
      <c r="F152" s="72"/>
      <c r="G152" s="72"/>
      <c r="H152" s="72"/>
      <c r="I152" s="72"/>
      <c r="J152" s="72"/>
      <c r="K152" s="72"/>
      <c r="L152" s="72"/>
      <c r="M152" s="72"/>
    </row>
    <row r="227" spans="1:13" ht="15.75" x14ac:dyDescent="0.25">
      <c r="A227" s="87" t="s">
        <v>416</v>
      </c>
      <c r="B227" s="72"/>
      <c r="C227" s="72"/>
      <c r="D227" s="72"/>
      <c r="E227" s="72"/>
      <c r="F227" s="72"/>
      <c r="G227" s="72"/>
      <c r="H227" s="72"/>
      <c r="I227" s="72"/>
      <c r="J227" s="72"/>
      <c r="K227" s="72"/>
      <c r="L227" s="72"/>
      <c r="M227" s="72"/>
    </row>
    <row r="228" spans="1:13" ht="30" customHeight="1" x14ac:dyDescent="0.25">
      <c r="A228" s="88" t="s">
        <v>417</v>
      </c>
      <c r="B228" s="72"/>
      <c r="C228" s="72"/>
      <c r="D228" s="72"/>
      <c r="E228" s="72"/>
      <c r="F228" s="72"/>
      <c r="G228" s="72"/>
      <c r="H228" s="72"/>
      <c r="I228" s="72"/>
      <c r="J228" s="72"/>
      <c r="K228" s="72"/>
      <c r="L228" s="72"/>
      <c r="M228" s="72"/>
    </row>
    <row r="375" ht="30" customHeight="1" x14ac:dyDescent="0.25"/>
  </sheetData>
  <mergeCells count="8">
    <mergeCell ref="B5:N5"/>
    <mergeCell ref="A227:M227"/>
    <mergeCell ref="A228:M228"/>
    <mergeCell ref="A151:M151"/>
    <mergeCell ref="A152:M152"/>
    <mergeCell ref="B6:N6"/>
    <mergeCell ref="B80:N80"/>
    <mergeCell ref="B81:N81"/>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L52"/>
  <sheetViews>
    <sheetView showGridLines="0" workbookViewId="0">
      <pane xSplit="2" ySplit="10" topLeftCell="C11" activePane="bottomRight" state="frozen"/>
      <selection pane="topRight"/>
      <selection pane="bottomLeft"/>
      <selection pane="bottomRight" activeCell="B13" sqref="B13"/>
    </sheetView>
  </sheetViews>
  <sheetFormatPr defaultRowHeight="15" x14ac:dyDescent="0.25"/>
  <cols>
    <col min="1" max="1" width="5" customWidth="1"/>
    <col min="2" max="2" width="64.5703125" customWidth="1"/>
    <col min="3" max="3" width="11" customWidth="1"/>
    <col min="4" max="6" width="9" customWidth="1"/>
    <col min="7" max="7" width="10" customWidth="1"/>
    <col min="8" max="8" width="11" customWidth="1"/>
    <col min="9" max="9" width="9" customWidth="1"/>
    <col min="10" max="10" width="34" customWidth="1"/>
    <col min="11" max="11" width="12" customWidth="1"/>
    <col min="12" max="12" width="50" customWidth="1"/>
  </cols>
  <sheetData>
    <row r="2" spans="1:12" ht="19.5" x14ac:dyDescent="0.3">
      <c r="B2" s="75" t="s">
        <v>418</v>
      </c>
      <c r="C2" s="72"/>
      <c r="D2" s="72"/>
      <c r="E2" s="72"/>
      <c r="F2" s="72"/>
      <c r="G2" s="72"/>
      <c r="H2" s="72"/>
      <c r="I2" s="72"/>
      <c r="J2" s="72"/>
      <c r="K2" s="72"/>
      <c r="L2" s="72"/>
    </row>
    <row r="3" spans="1:12" ht="42" customHeight="1" x14ac:dyDescent="0.25">
      <c r="B3" s="93" t="s">
        <v>419</v>
      </c>
      <c r="C3" s="94"/>
      <c r="D3" s="94"/>
      <c r="E3" s="98" t="s">
        <v>420</v>
      </c>
      <c r="F3" s="94"/>
      <c r="G3" s="94"/>
      <c r="H3" s="94"/>
      <c r="I3" s="94"/>
      <c r="J3" s="94"/>
      <c r="K3" s="94"/>
      <c r="L3" s="94"/>
    </row>
    <row r="4" spans="1:12" ht="42" customHeight="1" x14ac:dyDescent="0.25">
      <c r="B4" s="95" t="s">
        <v>421</v>
      </c>
      <c r="C4" s="92"/>
      <c r="D4" s="92"/>
      <c r="E4" s="91" t="s">
        <v>422</v>
      </c>
      <c r="F4" s="92"/>
      <c r="G4" s="92"/>
      <c r="H4" s="92"/>
      <c r="I4" s="92"/>
      <c r="J4" s="92"/>
      <c r="K4" s="92"/>
      <c r="L4" s="92"/>
    </row>
    <row r="5" spans="1:12" ht="42" customHeight="1" x14ac:dyDescent="0.25">
      <c r="B5" s="95" t="s">
        <v>423</v>
      </c>
      <c r="C5" s="92"/>
      <c r="D5" s="92"/>
      <c r="E5" s="91" t="s">
        <v>424</v>
      </c>
      <c r="F5" s="92"/>
      <c r="G5" s="92"/>
      <c r="H5" s="92"/>
      <c r="I5" s="92"/>
      <c r="J5" s="92"/>
      <c r="K5" s="92"/>
      <c r="L5" s="92"/>
    </row>
    <row r="6" spans="1:12" ht="42" customHeight="1" x14ac:dyDescent="0.25">
      <c r="B6" s="95" t="s">
        <v>425</v>
      </c>
      <c r="C6" s="92"/>
      <c r="D6" s="92"/>
      <c r="E6" s="91" t="s">
        <v>426</v>
      </c>
      <c r="F6" s="92"/>
      <c r="G6" s="92"/>
      <c r="H6" s="92"/>
      <c r="I6" s="92"/>
      <c r="J6" s="92"/>
      <c r="K6" s="92"/>
      <c r="L6" s="92"/>
    </row>
    <row r="7" spans="1:12" ht="42" customHeight="1" x14ac:dyDescent="0.25">
      <c r="B7" s="97" t="s">
        <v>427</v>
      </c>
      <c r="C7" s="90"/>
      <c r="D7" s="90"/>
      <c r="E7" s="89" t="s">
        <v>428</v>
      </c>
      <c r="F7" s="90"/>
      <c r="G7" s="90"/>
      <c r="H7" s="90"/>
      <c r="I7" s="90"/>
      <c r="J7" s="90"/>
      <c r="K7" s="90"/>
      <c r="L7" s="90"/>
    </row>
    <row r="8" spans="1:12" ht="42" customHeight="1" x14ac:dyDescent="0.25">
      <c r="B8" s="93" t="s">
        <v>429</v>
      </c>
      <c r="C8" s="94"/>
      <c r="D8" s="94"/>
      <c r="E8" s="98" t="s">
        <v>430</v>
      </c>
      <c r="F8" s="94"/>
      <c r="G8" s="94"/>
      <c r="H8" s="94"/>
      <c r="I8" s="94"/>
      <c r="J8" s="94"/>
      <c r="K8" s="94"/>
      <c r="L8" s="94"/>
    </row>
    <row r="10" spans="1:12" ht="30" customHeight="1" x14ac:dyDescent="0.25">
      <c r="A10" s="10" t="s">
        <v>340</v>
      </c>
      <c r="B10" s="10" t="s">
        <v>341</v>
      </c>
      <c r="C10" s="10" t="s">
        <v>342</v>
      </c>
      <c r="D10" s="10" t="s">
        <v>75</v>
      </c>
      <c r="E10" s="10" t="s">
        <v>431</v>
      </c>
      <c r="F10" s="10" t="s">
        <v>349</v>
      </c>
      <c r="G10" s="10" t="s">
        <v>350</v>
      </c>
      <c r="H10" s="10" t="s">
        <v>361</v>
      </c>
      <c r="I10" s="10" t="s">
        <v>432</v>
      </c>
      <c r="J10" s="10" t="s">
        <v>433</v>
      </c>
      <c r="K10" s="10" t="s">
        <v>434</v>
      </c>
      <c r="L10" s="10" t="s">
        <v>435</v>
      </c>
    </row>
    <row r="11" spans="1:12" ht="50.25" customHeight="1" x14ac:dyDescent="0.25">
      <c r="A11" s="43">
        <v>1</v>
      </c>
      <c r="B11" s="13" t="s">
        <v>250</v>
      </c>
      <c r="C11" s="44" t="s">
        <v>362</v>
      </c>
      <c r="D11" s="18">
        <f>'4. Statistical Analysis'!E10</f>
        <v>242.01937892606401</v>
      </c>
      <c r="E11" s="46">
        <v>0</v>
      </c>
      <c r="F11" s="16">
        <f>'4. Statistical Analysis'!J10</f>
        <v>192.59228439905513</v>
      </c>
      <c r="G11" s="16">
        <f>'4. Statistical Analysis'!K10</f>
        <v>168.88745821251615</v>
      </c>
      <c r="H11" s="14" t="str">
        <f>'4. Statistical Analysis'!V10</f>
        <v>Excellent</v>
      </c>
      <c r="I11" s="44" t="s">
        <v>436</v>
      </c>
      <c r="J11" s="40" t="s">
        <v>437</v>
      </c>
      <c r="K11" s="64" t="s">
        <v>438</v>
      </c>
      <c r="L11" s="40" t="s">
        <v>439</v>
      </c>
    </row>
    <row r="12" spans="1:12" ht="45.95" customHeight="1" x14ac:dyDescent="0.25">
      <c r="A12" s="49">
        <v>2</v>
      </c>
      <c r="B12" s="21" t="s">
        <v>253</v>
      </c>
      <c r="C12" s="50" t="s">
        <v>362</v>
      </c>
      <c r="D12" s="26">
        <f>'4. Statistical Analysis'!E11</f>
        <v>240.81103481225728</v>
      </c>
      <c r="E12" s="52">
        <f>'4. Statistical Analysis'!S11</f>
        <v>-0.49927576839864385</v>
      </c>
      <c r="F12" s="24">
        <f>'4. Statistical Analysis'!J11</f>
        <v>190.69523394769971</v>
      </c>
      <c r="G12" s="24">
        <f>'4. Statistical Analysis'!K11</f>
        <v>169.79367295913087</v>
      </c>
      <c r="H12" s="22" t="str">
        <f>'4. Statistical Analysis'!V11</f>
        <v>Excellent</v>
      </c>
      <c r="I12" s="65" t="s">
        <v>440</v>
      </c>
      <c r="J12" s="42" t="s">
        <v>441</v>
      </c>
      <c r="K12" s="64" t="s">
        <v>438</v>
      </c>
      <c r="L12" s="42" t="s">
        <v>442</v>
      </c>
    </row>
    <row r="13" spans="1:12" ht="45.95" customHeight="1" x14ac:dyDescent="0.25">
      <c r="A13" s="43">
        <v>3</v>
      </c>
      <c r="B13" s="13" t="s">
        <v>255</v>
      </c>
      <c r="C13" s="44" t="s">
        <v>362</v>
      </c>
      <c r="D13" s="18">
        <f>'4. Statistical Analysis'!E12</f>
        <v>239.28010125628833</v>
      </c>
      <c r="E13" s="46">
        <f>'4. Statistical Analysis'!S12</f>
        <v>-1.1318422854942178</v>
      </c>
      <c r="F13" s="16">
        <f>'4. Statistical Analysis'!J12</f>
        <v>188.2418456418344</v>
      </c>
      <c r="G13" s="16">
        <f>'4. Statistical Analysis'!K12</f>
        <v>166.80873837008753</v>
      </c>
      <c r="H13" s="14" t="str">
        <f>'4. Statistical Analysis'!V12</f>
        <v>Excellent</v>
      </c>
      <c r="I13" s="44" t="s">
        <v>443</v>
      </c>
      <c r="J13" s="40" t="s">
        <v>444</v>
      </c>
      <c r="K13" s="64" t="s">
        <v>438</v>
      </c>
      <c r="L13" s="40" t="s">
        <v>445</v>
      </c>
    </row>
    <row r="14" spans="1:12" ht="45.95" customHeight="1" x14ac:dyDescent="0.25">
      <c r="A14" s="49">
        <v>4</v>
      </c>
      <c r="B14" s="21" t="s">
        <v>257</v>
      </c>
      <c r="C14" s="50" t="s">
        <v>362</v>
      </c>
      <c r="D14" s="26">
        <f>'4. Statistical Analysis'!E13</f>
        <v>239.03041825760155</v>
      </c>
      <c r="E14" s="52">
        <f>'4. Statistical Analysis'!S13</f>
        <v>-1.235008816949146</v>
      </c>
      <c r="F14" s="24">
        <f>'4. Statistical Analysis'!J13</f>
        <v>185.69308263819482</v>
      </c>
      <c r="G14" s="24">
        <f>'4. Statistical Analysis'!K13</f>
        <v>150.28907895437391</v>
      </c>
      <c r="H14" s="22" t="str">
        <f>'4. Statistical Analysis'!V13</f>
        <v>Good</v>
      </c>
      <c r="I14" s="65" t="s">
        <v>440</v>
      </c>
      <c r="J14" s="42" t="s">
        <v>446</v>
      </c>
      <c r="K14" s="64" t="s">
        <v>438</v>
      </c>
      <c r="L14" s="42" t="s">
        <v>447</v>
      </c>
    </row>
    <row r="15" spans="1:12" ht="45.95" customHeight="1" x14ac:dyDescent="0.25">
      <c r="A15" s="43">
        <v>5</v>
      </c>
      <c r="B15" s="13" t="s">
        <v>259</v>
      </c>
      <c r="C15" s="44" t="s">
        <v>362</v>
      </c>
      <c r="D15" s="18">
        <f>'4. Statistical Analysis'!E14</f>
        <v>238.60991382224566</v>
      </c>
      <c r="E15" s="46">
        <f>'4. Statistical Analysis'!S14</f>
        <v>-1.408757066871049</v>
      </c>
      <c r="F15" s="16">
        <f>'4. Statistical Analysis'!J14</f>
        <v>191.15591720832728</v>
      </c>
      <c r="G15" s="16">
        <f>'4. Statistical Analysis'!K14</f>
        <v>170.36293571805695</v>
      </c>
      <c r="H15" s="14" t="str">
        <f>'4. Statistical Analysis'!V14</f>
        <v>Excellent</v>
      </c>
      <c r="I15" s="44" t="s">
        <v>443</v>
      </c>
      <c r="J15" s="40" t="s">
        <v>448</v>
      </c>
      <c r="K15" s="64" t="s">
        <v>438</v>
      </c>
      <c r="L15" s="40" t="s">
        <v>449</v>
      </c>
    </row>
    <row r="16" spans="1:12" ht="45.95" customHeight="1" x14ac:dyDescent="0.25">
      <c r="A16" s="49">
        <v>6</v>
      </c>
      <c r="B16" s="21" t="s">
        <v>261</v>
      </c>
      <c r="C16" s="50" t="s">
        <v>362</v>
      </c>
      <c r="D16" s="26">
        <f>'4. Statistical Analysis'!E15</f>
        <v>237.9338177433311</v>
      </c>
      <c r="E16" s="52">
        <f>'4. Statistical Analysis'!S15</f>
        <v>-1.688113241535516</v>
      </c>
      <c r="F16" s="24">
        <f>'4. Statistical Analysis'!J15</f>
        <v>187.88238760919589</v>
      </c>
      <c r="G16" s="24">
        <f>'4. Statistical Analysis'!K15</f>
        <v>166.44739016049914</v>
      </c>
      <c r="H16" s="22" t="str">
        <f>'4. Statistical Analysis'!V15</f>
        <v>Fair</v>
      </c>
      <c r="I16" s="65" t="s">
        <v>440</v>
      </c>
      <c r="J16" s="42" t="s">
        <v>450</v>
      </c>
      <c r="K16" s="66" t="s">
        <v>451</v>
      </c>
      <c r="L16" s="42" t="s">
        <v>452</v>
      </c>
    </row>
    <row r="17" spans="1:12" ht="45.95" customHeight="1" x14ac:dyDescent="0.25">
      <c r="A17" s="43">
        <v>7</v>
      </c>
      <c r="B17" s="13" t="s">
        <v>263</v>
      </c>
      <c r="C17" s="44" t="s">
        <v>362</v>
      </c>
      <c r="D17" s="18">
        <f>'4. Statistical Analysis'!E16</f>
        <v>237.23654741547944</v>
      </c>
      <c r="E17" s="46">
        <f>'4. Statistical Analysis'!S16</f>
        <v>-1.9762184052400649</v>
      </c>
      <c r="F17" s="16">
        <f>'4. Statistical Analysis'!J16</f>
        <v>187.49343469478148</v>
      </c>
      <c r="G17" s="16">
        <f>'4. Statistical Analysis'!K16</f>
        <v>163.64861713401265</v>
      </c>
      <c r="H17" s="14" t="str">
        <f>'4. Statistical Analysis'!V16</f>
        <v>Excellent</v>
      </c>
      <c r="I17" s="44" t="s">
        <v>443</v>
      </c>
      <c r="J17" s="40" t="s">
        <v>453</v>
      </c>
      <c r="K17" s="67" t="s">
        <v>454</v>
      </c>
      <c r="L17" s="40" t="s">
        <v>455</v>
      </c>
    </row>
    <row r="18" spans="1:12" ht="45.95" customHeight="1" x14ac:dyDescent="0.25">
      <c r="A18" s="49">
        <v>8</v>
      </c>
      <c r="B18" s="21" t="s">
        <v>265</v>
      </c>
      <c r="C18" s="50" t="s">
        <v>362</v>
      </c>
      <c r="D18" s="26">
        <f>'4. Statistical Analysis'!E17</f>
        <v>236.74462401788395</v>
      </c>
      <c r="E18" s="52">
        <f>'4. Statistical Analysis'!S17</f>
        <v>-2.1794762599533297</v>
      </c>
      <c r="F18" s="24">
        <f>'4. Statistical Analysis'!J17</f>
        <v>179.84575876093129</v>
      </c>
      <c r="G18" s="24">
        <f>'4. Statistical Analysis'!K17</f>
        <v>142.64201415058682</v>
      </c>
      <c r="H18" s="22" t="str">
        <f>'4. Statistical Analysis'!V17</f>
        <v>Good</v>
      </c>
      <c r="I18" s="50" t="s">
        <v>443</v>
      </c>
      <c r="J18" s="42" t="s">
        <v>456</v>
      </c>
      <c r="K18" s="67" t="s">
        <v>454</v>
      </c>
      <c r="L18" s="42" t="s">
        <v>457</v>
      </c>
    </row>
    <row r="19" spans="1:12" ht="45.95" customHeight="1" x14ac:dyDescent="0.25">
      <c r="A19" s="43">
        <v>9</v>
      </c>
      <c r="B19" s="13" t="s">
        <v>267</v>
      </c>
      <c r="C19" s="44" t="s">
        <v>362</v>
      </c>
      <c r="D19" s="18">
        <f>'4. Statistical Analysis'!E18</f>
        <v>236.63058612757476</v>
      </c>
      <c r="E19" s="46">
        <f>'4. Statistical Analysis'!S18</f>
        <v>-2.226595581891607</v>
      </c>
      <c r="F19" s="16">
        <f>'4. Statistical Analysis'!J18</f>
        <v>189.46507201290484</v>
      </c>
      <c r="G19" s="16">
        <f>'4. Statistical Analysis'!K18</f>
        <v>169.26682641550116</v>
      </c>
      <c r="H19" s="14" t="str">
        <f>'4. Statistical Analysis'!V18</f>
        <v>Fair</v>
      </c>
      <c r="I19" s="68" t="s">
        <v>440</v>
      </c>
      <c r="J19" s="40" t="s">
        <v>458</v>
      </c>
      <c r="K19" s="66" t="s">
        <v>451</v>
      </c>
      <c r="L19" s="40" t="s">
        <v>459</v>
      </c>
    </row>
    <row r="20" spans="1:12" ht="45.95" customHeight="1" x14ac:dyDescent="0.25">
      <c r="A20" s="49">
        <v>10</v>
      </c>
      <c r="B20" s="21" t="s">
        <v>269</v>
      </c>
      <c r="C20" s="50" t="s">
        <v>362</v>
      </c>
      <c r="D20" s="26">
        <f>'4. Statistical Analysis'!E19</f>
        <v>236.39090050769147</v>
      </c>
      <c r="E20" s="52">
        <f>'4. Statistical Analysis'!S19</f>
        <v>-2.3256312958690866</v>
      </c>
      <c r="F20" s="24">
        <f>'4. Statistical Analysis'!J19</f>
        <v>185.27753452068615</v>
      </c>
      <c r="G20" s="24">
        <f>'4. Statistical Analysis'!K19</f>
        <v>162.83044123469503</v>
      </c>
      <c r="H20" s="22" t="str">
        <f>'4. Statistical Analysis'!V19</f>
        <v>Good</v>
      </c>
      <c r="I20" s="50" t="s">
        <v>443</v>
      </c>
      <c r="J20" s="42" t="s">
        <v>460</v>
      </c>
      <c r="K20" s="67" t="s">
        <v>454</v>
      </c>
      <c r="L20" s="42" t="s">
        <v>461</v>
      </c>
    </row>
    <row r="21" spans="1:12" ht="45.95" customHeight="1" x14ac:dyDescent="0.25">
      <c r="A21" s="43">
        <v>11</v>
      </c>
      <c r="B21" s="13" t="s">
        <v>271</v>
      </c>
      <c r="C21" s="44" t="s">
        <v>362</v>
      </c>
      <c r="D21" s="18">
        <f>'4. Statistical Analysis'!E20</f>
        <v>235.32780132712188</v>
      </c>
      <c r="E21" s="46">
        <f>'4. Statistical Analysis'!S20</f>
        <v>-2.7648933026087894</v>
      </c>
      <c r="F21" s="16">
        <f>'4. Statistical Analysis'!J20</f>
        <v>188.01592673546739</v>
      </c>
      <c r="G21" s="16">
        <f>'4. Statistical Analysis'!K20</f>
        <v>167.1059474772988</v>
      </c>
      <c r="H21" s="14" t="str">
        <f>'4. Statistical Analysis'!V20</f>
        <v>Good</v>
      </c>
      <c r="I21" s="44" t="s">
        <v>443</v>
      </c>
      <c r="J21" s="40" t="s">
        <v>462</v>
      </c>
      <c r="K21" s="67" t="s">
        <v>454</v>
      </c>
      <c r="L21" s="40" t="s">
        <v>463</v>
      </c>
    </row>
    <row r="22" spans="1:12" ht="45.95" customHeight="1" x14ac:dyDescent="0.25">
      <c r="A22" s="49">
        <v>12</v>
      </c>
      <c r="B22" s="21" t="s">
        <v>273</v>
      </c>
      <c r="C22" s="50" t="s">
        <v>362</v>
      </c>
      <c r="D22" s="26">
        <f>'4. Statistical Analysis'!E21</f>
        <v>234.922477787974</v>
      </c>
      <c r="E22" s="52">
        <f>'4. Statistical Analysis'!S21</f>
        <v>-2.9323689572222564</v>
      </c>
      <c r="F22" s="24">
        <f>'4. Statistical Analysis'!J21</f>
        <v>183.20849409548379</v>
      </c>
      <c r="G22" s="24">
        <f>'4. Statistical Analysis'!K21</f>
        <v>161.96029261924895</v>
      </c>
      <c r="H22" s="22" t="str">
        <f>'4. Statistical Analysis'!V21</f>
        <v>Good</v>
      </c>
      <c r="I22" s="50" t="s">
        <v>443</v>
      </c>
      <c r="J22" s="42" t="s">
        <v>464</v>
      </c>
      <c r="K22" s="67" t="s">
        <v>454</v>
      </c>
      <c r="L22" s="42" t="s">
        <v>465</v>
      </c>
    </row>
    <row r="23" spans="1:12" ht="45.95" customHeight="1" x14ac:dyDescent="0.25">
      <c r="A23" s="43">
        <v>13</v>
      </c>
      <c r="B23" s="13" t="s">
        <v>275</v>
      </c>
      <c r="C23" s="44" t="s">
        <v>362</v>
      </c>
      <c r="D23" s="18">
        <f>'4. Statistical Analysis'!E22</f>
        <v>233.13344563550331</v>
      </c>
      <c r="E23" s="46">
        <f>'4. Statistical Analysis'!S22</f>
        <v>-3.6715792470797632</v>
      </c>
      <c r="F23" s="16">
        <f>'4. Statistical Analysis'!J22</f>
        <v>178.45514035390823</v>
      </c>
      <c r="G23" s="16">
        <f>'4. Statistical Analysis'!K22</f>
        <v>152.98280438395312</v>
      </c>
      <c r="H23" s="14" t="str">
        <f>'4. Statistical Analysis'!V22</f>
        <v>Good</v>
      </c>
      <c r="I23" s="44" t="s">
        <v>443</v>
      </c>
      <c r="J23" s="40" t="s">
        <v>466</v>
      </c>
      <c r="K23" s="67" t="s">
        <v>454</v>
      </c>
      <c r="L23" s="40" t="s">
        <v>467</v>
      </c>
    </row>
    <row r="24" spans="1:12" ht="45.95" customHeight="1" x14ac:dyDescent="0.25">
      <c r="A24" s="49">
        <v>14</v>
      </c>
      <c r="B24" s="21" t="s">
        <v>277</v>
      </c>
      <c r="C24" s="50" t="s">
        <v>362</v>
      </c>
      <c r="D24" s="26">
        <f>'4. Statistical Analysis'!E23</f>
        <v>232.8543586152376</v>
      </c>
      <c r="E24" s="52">
        <f>'4. Statistical Analysis'!S23</f>
        <v>-3.7868952277686345</v>
      </c>
      <c r="F24" s="24">
        <f>'4. Statistical Analysis'!J23</f>
        <v>177.47691900219962</v>
      </c>
      <c r="G24" s="24">
        <f>'4. Statistical Analysis'!K23</f>
        <v>128.36075637283463</v>
      </c>
      <c r="H24" s="22" t="str">
        <f>'4. Statistical Analysis'!V23</f>
        <v>Good</v>
      </c>
      <c r="I24" s="50" t="s">
        <v>443</v>
      </c>
      <c r="J24" s="42" t="s">
        <v>468</v>
      </c>
      <c r="K24" s="67" t="s">
        <v>454</v>
      </c>
      <c r="L24" s="42" t="s">
        <v>469</v>
      </c>
    </row>
    <row r="25" spans="1:12" ht="45.95" customHeight="1" x14ac:dyDescent="0.25">
      <c r="A25" s="43">
        <v>15</v>
      </c>
      <c r="B25" s="13" t="s">
        <v>279</v>
      </c>
      <c r="C25" s="44" t="s">
        <v>362</v>
      </c>
      <c r="D25" s="18">
        <f>'4. Statistical Analysis'!E24</f>
        <v>231.27970787898215</v>
      </c>
      <c r="E25" s="46">
        <f>'4. Statistical Analysis'!S24</f>
        <v>-4.4375252489028103</v>
      </c>
      <c r="F25" s="16">
        <f>'4. Statistical Analysis'!J24</f>
        <v>178.72501432323705</v>
      </c>
      <c r="G25" s="16">
        <f>'4. Statistical Analysis'!K24</f>
        <v>158.6005809575658</v>
      </c>
      <c r="H25" s="14" t="str">
        <f>'4. Statistical Analysis'!V24</f>
        <v>Excellent</v>
      </c>
      <c r="I25" s="44" t="s">
        <v>443</v>
      </c>
      <c r="J25" s="40" t="s">
        <v>470</v>
      </c>
      <c r="K25" s="67" t="s">
        <v>454</v>
      </c>
      <c r="L25" s="40" t="s">
        <v>471</v>
      </c>
    </row>
    <row r="26" spans="1:12" ht="45.95" customHeight="1" x14ac:dyDescent="0.25">
      <c r="A26" s="49">
        <v>16</v>
      </c>
      <c r="B26" s="21" t="s">
        <v>281</v>
      </c>
      <c r="C26" s="50" t="s">
        <v>362</v>
      </c>
      <c r="D26" s="26">
        <f>'4. Statistical Analysis'!E25</f>
        <v>230.79199370602714</v>
      </c>
      <c r="E26" s="52">
        <f>'4. Statistical Analysis'!S25</f>
        <v>-4.6390438938638825</v>
      </c>
      <c r="F26" s="24">
        <f>'4. Statistical Analysis'!J25</f>
        <v>178.69031837079399</v>
      </c>
      <c r="G26" s="24">
        <f>'4. Statistical Analysis'!K25</f>
        <v>156.00136751819622</v>
      </c>
      <c r="H26" s="22" t="str">
        <f>'4. Statistical Analysis'!V25</f>
        <v>Fair</v>
      </c>
      <c r="I26" s="50" t="s">
        <v>443</v>
      </c>
      <c r="J26" s="42" t="s">
        <v>472</v>
      </c>
      <c r="K26" s="66" t="s">
        <v>451</v>
      </c>
      <c r="L26" s="42" t="s">
        <v>473</v>
      </c>
    </row>
    <row r="27" spans="1:12" ht="45.95" customHeight="1" x14ac:dyDescent="0.25">
      <c r="A27" s="43">
        <v>17</v>
      </c>
      <c r="B27" s="13" t="s">
        <v>283</v>
      </c>
      <c r="C27" s="44" t="s">
        <v>362</v>
      </c>
      <c r="D27" s="18">
        <f>'4. Statistical Analysis'!E26</f>
        <v>230.4521088853308</v>
      </c>
      <c r="E27" s="46">
        <f>'4. Statistical Analysis'!S26</f>
        <v>-4.7794809209335929</v>
      </c>
      <c r="F27" s="16">
        <f>'4. Statistical Analysis'!J26</f>
        <v>176.87280445399963</v>
      </c>
      <c r="G27" s="16">
        <f>'4. Statistical Analysis'!K26</f>
        <v>155.95637683157733</v>
      </c>
      <c r="H27" s="14" t="str">
        <f>'4. Statistical Analysis'!V26</f>
        <v>Excellent</v>
      </c>
      <c r="I27" s="44" t="s">
        <v>443</v>
      </c>
      <c r="J27" s="40" t="s">
        <v>474</v>
      </c>
      <c r="K27" s="67" t="s">
        <v>454</v>
      </c>
      <c r="L27" s="40" t="s">
        <v>475</v>
      </c>
    </row>
    <row r="28" spans="1:12" ht="45.95" customHeight="1" x14ac:dyDescent="0.25">
      <c r="A28" s="49">
        <v>18</v>
      </c>
      <c r="B28" s="21" t="s">
        <v>285</v>
      </c>
      <c r="C28" s="50" t="s">
        <v>362</v>
      </c>
      <c r="D28" s="26">
        <f>'4. Statistical Analysis'!E27</f>
        <v>230.44443374544045</v>
      </c>
      <c r="E28" s="52">
        <f>'4. Statistical Analysis'!S27</f>
        <v>-4.7826522123914961</v>
      </c>
      <c r="F28" s="24">
        <f>'4. Statistical Analysis'!J27</f>
        <v>178.87811741798981</v>
      </c>
      <c r="G28" s="24">
        <f>'4. Statistical Analysis'!K27</f>
        <v>158.6206271673455</v>
      </c>
      <c r="H28" s="22" t="str">
        <f>'4. Statistical Analysis'!V27</f>
        <v>Excellent</v>
      </c>
      <c r="I28" s="50" t="s">
        <v>443</v>
      </c>
      <c r="J28" s="42" t="s">
        <v>476</v>
      </c>
      <c r="K28" s="67" t="s">
        <v>454</v>
      </c>
      <c r="L28" s="42" t="s">
        <v>477</v>
      </c>
    </row>
    <row r="29" spans="1:12" ht="45.95" customHeight="1" x14ac:dyDescent="0.25">
      <c r="A29" s="43">
        <v>19</v>
      </c>
      <c r="B29" s="13" t="s">
        <v>287</v>
      </c>
      <c r="C29" s="44" t="s">
        <v>362</v>
      </c>
      <c r="D29" s="18">
        <f>'4. Statistical Analysis'!E28</f>
        <v>229.91298106864141</v>
      </c>
      <c r="E29" s="46">
        <f>'4. Statistical Analysis'!S28</f>
        <v>-5.0022431720730305</v>
      </c>
      <c r="F29" s="16">
        <f>'4. Statistical Analysis'!J28</f>
        <v>180.61215991825688</v>
      </c>
      <c r="G29" s="16">
        <f>'4. Statistical Analysis'!K28</f>
        <v>160.4552596901311</v>
      </c>
      <c r="H29" s="14" t="str">
        <f>'4. Statistical Analysis'!V28</f>
        <v>Good</v>
      </c>
      <c r="I29" s="44" t="s">
        <v>443</v>
      </c>
      <c r="J29" s="40" t="s">
        <v>478</v>
      </c>
      <c r="K29" s="67" t="s">
        <v>454</v>
      </c>
      <c r="L29" s="40" t="s">
        <v>479</v>
      </c>
    </row>
    <row r="30" spans="1:12" ht="45.95" customHeight="1" x14ac:dyDescent="0.25">
      <c r="A30" s="49">
        <v>20</v>
      </c>
      <c r="B30" s="21" t="s">
        <v>289</v>
      </c>
      <c r="C30" s="50" t="s">
        <v>362</v>
      </c>
      <c r="D30" s="26">
        <f>'4. Statistical Analysis'!E29</f>
        <v>229.64507146135247</v>
      </c>
      <c r="E30" s="52">
        <f>'4. Statistical Analysis'!S29</f>
        <v>-5.1129407569018834</v>
      </c>
      <c r="F30" s="24">
        <f>'4. Statistical Analysis'!J29</f>
        <v>175.52310394133255</v>
      </c>
      <c r="G30" s="24">
        <f>'4. Statistical Analysis'!K29</f>
        <v>155.38403002360181</v>
      </c>
      <c r="H30" s="22" t="str">
        <f>'4. Statistical Analysis'!V29</f>
        <v>Excellent</v>
      </c>
      <c r="I30" s="50" t="s">
        <v>443</v>
      </c>
      <c r="J30" s="42" t="s">
        <v>480</v>
      </c>
      <c r="K30" s="67" t="s">
        <v>454</v>
      </c>
      <c r="L30" s="42" t="s">
        <v>481</v>
      </c>
    </row>
    <row r="31" spans="1:12" ht="45.95" customHeight="1" x14ac:dyDescent="0.25">
      <c r="A31" s="43">
        <v>21</v>
      </c>
      <c r="B31" s="13" t="s">
        <v>291</v>
      </c>
      <c r="C31" s="44" t="s">
        <v>362</v>
      </c>
      <c r="D31" s="18">
        <f>'4. Statistical Analysis'!E30</f>
        <v>229.08120604614624</v>
      </c>
      <c r="E31" s="46">
        <f>'4. Statistical Analysis'!S30</f>
        <v>-5.345924337683031</v>
      </c>
      <c r="F31" s="16">
        <f>'4. Statistical Analysis'!J30</f>
        <v>174.21624334975917</v>
      </c>
      <c r="G31" s="16">
        <f>'4. Statistical Analysis'!K30</f>
        <v>152.88279201875633</v>
      </c>
      <c r="H31" s="14" t="str">
        <f>'4. Statistical Analysis'!V30</f>
        <v>Excellent</v>
      </c>
      <c r="I31" s="44" t="s">
        <v>443</v>
      </c>
      <c r="J31" s="40" t="s">
        <v>482</v>
      </c>
      <c r="K31" s="67" t="s">
        <v>454</v>
      </c>
      <c r="L31" s="40" t="s">
        <v>483</v>
      </c>
    </row>
    <row r="32" spans="1:12" ht="45.95" customHeight="1" x14ac:dyDescent="0.25">
      <c r="A32" s="49">
        <v>22</v>
      </c>
      <c r="B32" s="21" t="s">
        <v>293</v>
      </c>
      <c r="C32" s="50" t="s">
        <v>362</v>
      </c>
      <c r="D32" s="26">
        <f>'4. Statistical Analysis'!E31</f>
        <v>228.55973000354115</v>
      </c>
      <c r="E32" s="52">
        <f>'4. Statistical Analysis'!S31</f>
        <v>-5.5613930513534333</v>
      </c>
      <c r="F32" s="24">
        <f>'4. Statistical Analysis'!J31</f>
        <v>178.33863844247216</v>
      </c>
      <c r="G32" s="24">
        <f>'4. Statistical Analysis'!K31</f>
        <v>158.45048128920718</v>
      </c>
      <c r="H32" s="22" t="str">
        <f>'4. Statistical Analysis'!V31</f>
        <v>Excellent</v>
      </c>
      <c r="I32" s="50" t="s">
        <v>443</v>
      </c>
      <c r="J32" s="42" t="s">
        <v>484</v>
      </c>
      <c r="K32" s="67" t="s">
        <v>454</v>
      </c>
      <c r="L32" s="42" t="s">
        <v>485</v>
      </c>
    </row>
    <row r="33" spans="1:12" ht="45.95" customHeight="1" x14ac:dyDescent="0.25">
      <c r="A33" s="43">
        <v>23</v>
      </c>
      <c r="B33" s="13" t="s">
        <v>295</v>
      </c>
      <c r="C33" s="44" t="s">
        <v>362</v>
      </c>
      <c r="D33" s="18">
        <f>'4. Statistical Analysis'!E32</f>
        <v>228.46359991410424</v>
      </c>
      <c r="E33" s="46">
        <f>'4. Statistical Analysis'!S32</f>
        <v>-5.6011130481005855</v>
      </c>
      <c r="F33" s="16">
        <f>'4. Statistical Analysis'!J32</f>
        <v>179.16336237353204</v>
      </c>
      <c r="G33" s="16">
        <f>'4. Statistical Analysis'!K32</f>
        <v>161.42652228323323</v>
      </c>
      <c r="H33" s="14" t="str">
        <f>'4. Statistical Analysis'!V32</f>
        <v>Excellent</v>
      </c>
      <c r="I33" s="44" t="s">
        <v>443</v>
      </c>
      <c r="J33" s="40" t="s">
        <v>486</v>
      </c>
      <c r="K33" s="67" t="s">
        <v>454</v>
      </c>
      <c r="L33" s="40" t="s">
        <v>487</v>
      </c>
    </row>
    <row r="34" spans="1:12" ht="45.95" customHeight="1" x14ac:dyDescent="0.25">
      <c r="A34" s="49">
        <v>24</v>
      </c>
      <c r="B34" s="21" t="s">
        <v>297</v>
      </c>
      <c r="C34" s="50" t="s">
        <v>362</v>
      </c>
      <c r="D34" s="26">
        <f>'4. Statistical Analysis'!E33</f>
        <v>228.0791307736059</v>
      </c>
      <c r="E34" s="52">
        <f>'4. Statistical Analysis'!S33</f>
        <v>-5.7599718726312421</v>
      </c>
      <c r="F34" s="24">
        <f>'4. Statistical Analysis'!J33</f>
        <v>178.35919813863504</v>
      </c>
      <c r="G34" s="24">
        <f>'4. Statistical Analysis'!K33</f>
        <v>161.94818967247278</v>
      </c>
      <c r="H34" s="22" t="str">
        <f>'4. Statistical Analysis'!V33</f>
        <v>Excellent</v>
      </c>
      <c r="I34" s="50" t="s">
        <v>443</v>
      </c>
      <c r="J34" s="42" t="s">
        <v>488</v>
      </c>
      <c r="K34" s="67" t="s">
        <v>454</v>
      </c>
      <c r="L34" s="42" t="s">
        <v>489</v>
      </c>
    </row>
    <row r="35" spans="1:12" ht="45.95" customHeight="1" x14ac:dyDescent="0.25">
      <c r="A35" s="43">
        <v>25</v>
      </c>
      <c r="B35" s="13" t="s">
        <v>299</v>
      </c>
      <c r="C35" s="44" t="s">
        <v>362</v>
      </c>
      <c r="D35" s="18">
        <f>'4. Statistical Analysis'!E34</f>
        <v>227.86704657717556</v>
      </c>
      <c r="E35" s="46">
        <f>'4. Statistical Analysis'!S34</f>
        <v>-5.8476029529899476</v>
      </c>
      <c r="F35" s="16">
        <f>'4. Statistical Analysis'!J34</f>
        <v>178.14829760411757</v>
      </c>
      <c r="G35" s="16">
        <f>'4. Statistical Analysis'!K34</f>
        <v>158.92654356059145</v>
      </c>
      <c r="H35" s="14" t="str">
        <f>'4. Statistical Analysis'!V34</f>
        <v>Excellent</v>
      </c>
      <c r="I35" s="44" t="s">
        <v>443</v>
      </c>
      <c r="J35" s="40" t="s">
        <v>490</v>
      </c>
      <c r="K35" s="67" t="s">
        <v>454</v>
      </c>
      <c r="L35" s="40" t="s">
        <v>489</v>
      </c>
    </row>
    <row r="36" spans="1:12" ht="45.95" customHeight="1" x14ac:dyDescent="0.25">
      <c r="A36" s="49">
        <v>26</v>
      </c>
      <c r="B36" s="21" t="s">
        <v>301</v>
      </c>
      <c r="C36" s="50" t="s">
        <v>362</v>
      </c>
      <c r="D36" s="26">
        <f>'4. Statistical Analysis'!E35</f>
        <v>227.51220447133136</v>
      </c>
      <c r="E36" s="52">
        <f>'4. Statistical Analysis'!S35</f>
        <v>-5.994220181502298</v>
      </c>
      <c r="F36" s="24">
        <f>'4. Statistical Analysis'!J35</f>
        <v>177.39390453311344</v>
      </c>
      <c r="G36" s="24">
        <f>'4. Statistical Analysis'!K35</f>
        <v>156.12006686924693</v>
      </c>
      <c r="H36" s="22" t="str">
        <f>'4. Statistical Analysis'!V35</f>
        <v>Fair</v>
      </c>
      <c r="I36" s="50" t="s">
        <v>443</v>
      </c>
      <c r="J36" s="42" t="s">
        <v>491</v>
      </c>
      <c r="K36" s="66" t="s">
        <v>451</v>
      </c>
      <c r="L36" s="42" t="s">
        <v>492</v>
      </c>
    </row>
    <row r="37" spans="1:12" ht="45.95" customHeight="1" x14ac:dyDescent="0.25">
      <c r="A37" s="43">
        <v>27</v>
      </c>
      <c r="B37" s="13" t="s">
        <v>303</v>
      </c>
      <c r="C37" s="44" t="s">
        <v>362</v>
      </c>
      <c r="D37" s="18">
        <f>'4. Statistical Analysis'!E36</f>
        <v>227.40213987001349</v>
      </c>
      <c r="E37" s="46">
        <f>'4. Statistical Analysis'!S36</f>
        <v>-6.0396977799517586</v>
      </c>
      <c r="F37" s="16">
        <f>'4. Statistical Analysis'!J36</f>
        <v>174.27692869880511</v>
      </c>
      <c r="G37" s="16">
        <f>'4. Statistical Analysis'!K36</f>
        <v>154.26265290184452</v>
      </c>
      <c r="H37" s="14" t="str">
        <f>'4. Statistical Analysis'!V36</f>
        <v>Excellent</v>
      </c>
      <c r="I37" s="44" t="s">
        <v>443</v>
      </c>
      <c r="J37" s="40" t="s">
        <v>493</v>
      </c>
      <c r="K37" s="67" t="s">
        <v>454</v>
      </c>
      <c r="L37" s="40" t="s">
        <v>494</v>
      </c>
    </row>
    <row r="38" spans="1:12" ht="45.95" customHeight="1" x14ac:dyDescent="0.25">
      <c r="A38" s="49">
        <v>28</v>
      </c>
      <c r="B38" s="21" t="s">
        <v>305</v>
      </c>
      <c r="C38" s="50" t="s">
        <v>362</v>
      </c>
      <c r="D38" s="26">
        <f>'4. Statistical Analysis'!E37</f>
        <v>227.28951660350435</v>
      </c>
      <c r="E38" s="52">
        <f>'4. Statistical Analysis'!S37</f>
        <v>-6.0862325934071464</v>
      </c>
      <c r="F38" s="24">
        <f>'4. Statistical Analysis'!J37</f>
        <v>177.25876384067882</v>
      </c>
      <c r="G38" s="24">
        <f>'4. Statistical Analysis'!K37</f>
        <v>159.45955122269038</v>
      </c>
      <c r="H38" s="22" t="str">
        <f>'4. Statistical Analysis'!V37</f>
        <v>Excellent</v>
      </c>
      <c r="I38" s="50" t="s">
        <v>443</v>
      </c>
      <c r="J38" s="42" t="s">
        <v>495</v>
      </c>
      <c r="K38" s="67" t="s">
        <v>454</v>
      </c>
      <c r="L38" s="42" t="s">
        <v>496</v>
      </c>
    </row>
    <row r="39" spans="1:12" ht="45.95" customHeight="1" x14ac:dyDescent="0.25">
      <c r="A39" s="43">
        <v>29</v>
      </c>
      <c r="B39" s="13" t="s">
        <v>307</v>
      </c>
      <c r="C39" s="44" t="s">
        <v>362</v>
      </c>
      <c r="D39" s="18">
        <f>'4. Statistical Analysis'!E38</f>
        <v>226.96542138377626</v>
      </c>
      <c r="E39" s="46">
        <f>'4. Statistical Analysis'!S38</f>
        <v>-6.2201455144162958</v>
      </c>
      <c r="F39" s="16">
        <f>'4. Statistical Analysis'!J38</f>
        <v>177.86600768235064</v>
      </c>
      <c r="G39" s="16">
        <f>'4. Statistical Analysis'!K38</f>
        <v>159.18965163989495</v>
      </c>
      <c r="H39" s="14" t="str">
        <f>'4. Statistical Analysis'!V38</f>
        <v>Excellent</v>
      </c>
      <c r="I39" s="44" t="s">
        <v>443</v>
      </c>
      <c r="J39" s="40" t="s">
        <v>497</v>
      </c>
      <c r="K39" s="67" t="s">
        <v>454</v>
      </c>
      <c r="L39" s="40" t="s">
        <v>498</v>
      </c>
    </row>
    <row r="40" spans="1:12" ht="45.95" customHeight="1" x14ac:dyDescent="0.25">
      <c r="A40" s="49">
        <v>30</v>
      </c>
      <c r="B40" s="21" t="s">
        <v>309</v>
      </c>
      <c r="C40" s="50" t="s">
        <v>362</v>
      </c>
      <c r="D40" s="26">
        <f>'4. Statistical Analysis'!E39</f>
        <v>226.61668210657166</v>
      </c>
      <c r="E40" s="52">
        <f>'4. Statistical Analysis'!S39</f>
        <v>-6.3642411148397384</v>
      </c>
      <c r="F40" s="24">
        <f>'4. Statistical Analysis'!J39</f>
        <v>177.43063904721157</v>
      </c>
      <c r="G40" s="24">
        <f>'4. Statistical Analysis'!K39</f>
        <v>157.58473191772464</v>
      </c>
      <c r="H40" s="22" t="str">
        <f>'4. Statistical Analysis'!V39</f>
        <v>Excellent</v>
      </c>
      <c r="I40" s="50" t="s">
        <v>443</v>
      </c>
      <c r="J40" s="42" t="s">
        <v>499</v>
      </c>
      <c r="K40" s="67" t="s">
        <v>454</v>
      </c>
      <c r="L40" s="42" t="s">
        <v>500</v>
      </c>
    </row>
    <row r="41" spans="1:12" ht="45.95" customHeight="1" x14ac:dyDescent="0.25">
      <c r="A41" s="55">
        <v>31</v>
      </c>
      <c r="B41" s="56" t="s">
        <v>311</v>
      </c>
      <c r="C41" s="57" t="s">
        <v>171</v>
      </c>
      <c r="D41" s="34">
        <f>'4. Statistical Analysis'!E40</f>
        <v>226.53446293957845</v>
      </c>
      <c r="E41" s="59">
        <f>'4. Statistical Analysis'!S40</f>
        <v>-6.3982132568054153</v>
      </c>
      <c r="F41" s="32">
        <f>'4. Statistical Analysis'!J40</f>
        <v>177.14576716008813</v>
      </c>
      <c r="G41" s="32">
        <f>'4. Statistical Analysis'!K40</f>
        <v>157.68577045002695</v>
      </c>
      <c r="H41" s="30" t="str">
        <f>'4. Statistical Analysis'!V40</f>
        <v>Excellent</v>
      </c>
      <c r="I41" s="69" t="s">
        <v>443</v>
      </c>
      <c r="J41" s="70" t="s">
        <v>501</v>
      </c>
      <c r="K41" s="67" t="s">
        <v>454</v>
      </c>
      <c r="L41" s="70" t="s">
        <v>502</v>
      </c>
    </row>
    <row r="42" spans="1:12" ht="45.95" customHeight="1" x14ac:dyDescent="0.25">
      <c r="A42" s="49">
        <v>32</v>
      </c>
      <c r="B42" s="21" t="s">
        <v>313</v>
      </c>
      <c r="C42" s="50" t="s">
        <v>362</v>
      </c>
      <c r="D42" s="26">
        <f>'4. Statistical Analysis'!E41</f>
        <v>226.29302986399679</v>
      </c>
      <c r="E42" s="52">
        <f>'4. Statistical Analysis'!S41</f>
        <v>-6.4979710020954791</v>
      </c>
      <c r="F42" s="24">
        <f>'4. Statistical Analysis'!J41</f>
        <v>176.67523986098394</v>
      </c>
      <c r="G42" s="24">
        <f>'4. Statistical Analysis'!K41</f>
        <v>157.27120289228108</v>
      </c>
      <c r="H42" s="22" t="str">
        <f>'4. Statistical Analysis'!V41</f>
        <v>Excellent</v>
      </c>
      <c r="I42" s="50" t="s">
        <v>443</v>
      </c>
      <c r="J42" s="42" t="s">
        <v>503</v>
      </c>
      <c r="K42" s="67" t="s">
        <v>454</v>
      </c>
      <c r="L42" s="42" t="s">
        <v>504</v>
      </c>
    </row>
    <row r="43" spans="1:12" ht="45.95" customHeight="1" x14ac:dyDescent="0.25">
      <c r="A43" s="43">
        <v>33</v>
      </c>
      <c r="B43" s="13" t="s">
        <v>315</v>
      </c>
      <c r="C43" s="44" t="s">
        <v>362</v>
      </c>
      <c r="D43" s="18">
        <f>'4. Statistical Analysis'!E42</f>
        <v>223.53807838647435</v>
      </c>
      <c r="E43" s="46">
        <f>'4. Statistical Analysis'!S42</f>
        <v>-7.6362895490429388</v>
      </c>
      <c r="F43" s="16">
        <f>'4. Statistical Analysis'!J42</f>
        <v>173.83433255470482</v>
      </c>
      <c r="G43" s="16">
        <f>'4. Statistical Analysis'!K42</f>
        <v>152.93146360263444</v>
      </c>
      <c r="H43" s="14" t="str">
        <f>'4. Statistical Analysis'!V42</f>
        <v>Excellent</v>
      </c>
      <c r="I43" s="44" t="s">
        <v>443</v>
      </c>
      <c r="J43" s="40" t="s">
        <v>505</v>
      </c>
      <c r="K43" s="67" t="s">
        <v>454</v>
      </c>
      <c r="L43" s="40" t="s">
        <v>506</v>
      </c>
    </row>
    <row r="44" spans="1:12" ht="45.95" customHeight="1" x14ac:dyDescent="0.25">
      <c r="A44" s="49">
        <v>34</v>
      </c>
      <c r="B44" s="21" t="s">
        <v>317</v>
      </c>
      <c r="C44" s="50" t="s">
        <v>362</v>
      </c>
      <c r="D44" s="26">
        <f>'4. Statistical Analysis'!E43</f>
        <v>222.62068879700388</v>
      </c>
      <c r="E44" s="52">
        <f>'4. Statistical Analysis'!S43</f>
        <v>-8.0153458021170909</v>
      </c>
      <c r="F44" s="24">
        <f>'4. Statistical Analysis'!J43</f>
        <v>173.03650277749131</v>
      </c>
      <c r="G44" s="24">
        <f>'4. Statistical Analysis'!K43</f>
        <v>153.8182779257817</v>
      </c>
      <c r="H44" s="22" t="str">
        <f>'4. Statistical Analysis'!V43</f>
        <v>Excellent</v>
      </c>
      <c r="I44" s="50" t="s">
        <v>443</v>
      </c>
      <c r="J44" s="42" t="s">
        <v>507</v>
      </c>
      <c r="K44" s="67" t="s">
        <v>454</v>
      </c>
      <c r="L44" s="42" t="s">
        <v>508</v>
      </c>
    </row>
    <row r="45" spans="1:12" ht="45.95" customHeight="1" x14ac:dyDescent="0.25">
      <c r="A45" s="55">
        <v>35</v>
      </c>
      <c r="B45" s="56" t="s">
        <v>319</v>
      </c>
      <c r="C45" s="57" t="s">
        <v>171</v>
      </c>
      <c r="D45" s="34">
        <f>'4. Statistical Analysis'!E44</f>
        <v>222.1958712950865</v>
      </c>
      <c r="E45" s="59">
        <f>'4. Statistical Analysis'!S44</f>
        <v>-8.1908761682400275</v>
      </c>
      <c r="F45" s="32">
        <f>'4. Statistical Analysis'!J44</f>
        <v>172.03789485903377</v>
      </c>
      <c r="G45" s="32">
        <f>'4. Statistical Analysis'!K44</f>
        <v>150.40900691447999</v>
      </c>
      <c r="H45" s="30" t="str">
        <f>'4. Statistical Analysis'!V44</f>
        <v>Good</v>
      </c>
      <c r="I45" s="69" t="s">
        <v>443</v>
      </c>
      <c r="J45" s="70" t="s">
        <v>509</v>
      </c>
      <c r="K45" s="67" t="s">
        <v>454</v>
      </c>
      <c r="L45" s="70" t="s">
        <v>510</v>
      </c>
    </row>
    <row r="46" spans="1:12" ht="45.95" customHeight="1" x14ac:dyDescent="0.25">
      <c r="A46" s="49">
        <v>36</v>
      </c>
      <c r="B46" s="21" t="s">
        <v>321</v>
      </c>
      <c r="C46" s="50" t="s">
        <v>362</v>
      </c>
      <c r="D46" s="26">
        <f>'4. Statistical Analysis'!E45</f>
        <v>222.18521855787566</v>
      </c>
      <c r="E46" s="52">
        <f>'4. Statistical Analysis'!S45</f>
        <v>-8.1952777732925313</v>
      </c>
      <c r="F46" s="24">
        <f>'4. Statistical Analysis'!J45</f>
        <v>170.7040134158448</v>
      </c>
      <c r="G46" s="24">
        <f>'4. Statistical Analysis'!K45</f>
        <v>151.87396435276304</v>
      </c>
      <c r="H46" s="22" t="str">
        <f>'4. Statistical Analysis'!V45</f>
        <v>Excellent</v>
      </c>
      <c r="I46" s="50" t="s">
        <v>443</v>
      </c>
      <c r="J46" s="42" t="s">
        <v>511</v>
      </c>
      <c r="K46" s="67" t="s">
        <v>454</v>
      </c>
      <c r="L46" s="42" t="s">
        <v>512</v>
      </c>
    </row>
    <row r="47" spans="1:12" ht="45.95" customHeight="1" x14ac:dyDescent="0.25">
      <c r="A47" s="43">
        <v>37</v>
      </c>
      <c r="B47" s="13" t="s">
        <v>323</v>
      </c>
      <c r="C47" s="44" t="s">
        <v>362</v>
      </c>
      <c r="D47" s="18">
        <f>'4. Statistical Analysis'!E46</f>
        <v>209.7965956211593</v>
      </c>
      <c r="E47" s="46">
        <f>'4. Statistical Analysis'!S46</f>
        <v>-13.314133540830483</v>
      </c>
      <c r="F47" s="16">
        <f>'4. Statistical Analysis'!J46</f>
        <v>160.15961790230236</v>
      </c>
      <c r="G47" s="16">
        <f>'4. Statistical Analysis'!K46</f>
        <v>110.34728957917278</v>
      </c>
      <c r="H47" s="14" t="str">
        <f>'4. Statistical Analysis'!V46</f>
        <v>Good</v>
      </c>
      <c r="I47" s="44" t="s">
        <v>443</v>
      </c>
      <c r="J47" s="40" t="s">
        <v>513</v>
      </c>
      <c r="K47" s="67" t="s">
        <v>454</v>
      </c>
      <c r="L47" s="40" t="s">
        <v>514</v>
      </c>
    </row>
    <row r="48" spans="1:12" ht="45.95" customHeight="1" x14ac:dyDescent="0.25">
      <c r="A48" s="49">
        <v>38</v>
      </c>
      <c r="B48" s="21" t="s">
        <v>325</v>
      </c>
      <c r="C48" s="50" t="s">
        <v>362</v>
      </c>
      <c r="D48" s="26">
        <f>'4. Statistical Analysis'!E47</f>
        <v>208.6708573991491</v>
      </c>
      <c r="E48" s="52">
        <f>'4. Statistical Analysis'!S47</f>
        <v>-13.779277376421478</v>
      </c>
      <c r="F48" s="24">
        <f>'4. Statistical Analysis'!J47</f>
        <v>167.09006499674368</v>
      </c>
      <c r="G48" s="24">
        <f>'4. Statistical Analysis'!K47</f>
        <v>151.31019480125008</v>
      </c>
      <c r="H48" s="22" t="str">
        <f>'4. Statistical Analysis'!V47</f>
        <v>Excellent</v>
      </c>
      <c r="I48" s="50" t="s">
        <v>443</v>
      </c>
      <c r="J48" s="42" t="s">
        <v>515</v>
      </c>
      <c r="K48" s="67" t="s">
        <v>454</v>
      </c>
      <c r="L48" s="42" t="s">
        <v>516</v>
      </c>
    </row>
    <row r="49" spans="1:12" ht="45.95" customHeight="1" x14ac:dyDescent="0.25">
      <c r="A49" s="43">
        <v>39</v>
      </c>
      <c r="B49" s="13" t="s">
        <v>327</v>
      </c>
      <c r="C49" s="44" t="s">
        <v>362</v>
      </c>
      <c r="D49" s="18">
        <f>'4. Statistical Analysis'!E48</f>
        <v>207.34643329270042</v>
      </c>
      <c r="E49" s="46">
        <f>'4. Statistical Analysis'!S48</f>
        <v>-14.326516243129452</v>
      </c>
      <c r="F49" s="16">
        <f>'4. Statistical Analysis'!J48</f>
        <v>166.79723647849576</v>
      </c>
      <c r="G49" s="16">
        <f>'4. Statistical Analysis'!K48</f>
        <v>150.64679082849005</v>
      </c>
      <c r="H49" s="14" t="str">
        <f>'4. Statistical Analysis'!V48</f>
        <v>Excellent</v>
      </c>
      <c r="I49" s="44" t="s">
        <v>443</v>
      </c>
      <c r="J49" s="40" t="s">
        <v>517</v>
      </c>
      <c r="K49" s="67" t="s">
        <v>454</v>
      </c>
      <c r="L49" s="40" t="s">
        <v>518</v>
      </c>
    </row>
    <row r="51" spans="1:12" x14ac:dyDescent="0.25">
      <c r="B51" s="96" t="s">
        <v>519</v>
      </c>
      <c r="C51" s="72"/>
      <c r="D51" s="72"/>
      <c r="E51" s="72"/>
      <c r="F51" s="72"/>
      <c r="G51" s="72"/>
      <c r="H51" s="72"/>
      <c r="I51" s="72"/>
      <c r="J51" s="72"/>
      <c r="K51" s="72"/>
      <c r="L51" s="72"/>
    </row>
    <row r="52" spans="1:12" x14ac:dyDescent="0.25">
      <c r="B52" s="76" t="s">
        <v>520</v>
      </c>
      <c r="C52" s="72"/>
      <c r="D52" s="72"/>
      <c r="E52" s="72"/>
      <c r="F52" s="72"/>
      <c r="G52" s="72"/>
      <c r="H52" s="72"/>
      <c r="I52" s="72"/>
      <c r="J52" s="72"/>
      <c r="K52" s="72"/>
      <c r="L52" s="72"/>
    </row>
  </sheetData>
  <mergeCells count="15">
    <mergeCell ref="B2:L2"/>
    <mergeCell ref="B51:L51"/>
    <mergeCell ref="E5:L5"/>
    <mergeCell ref="B6:D6"/>
    <mergeCell ref="B7:D7"/>
    <mergeCell ref="E8:L8"/>
    <mergeCell ref="E4:L4"/>
    <mergeCell ref="B3:D3"/>
    <mergeCell ref="E3:L3"/>
    <mergeCell ref="B5:D5"/>
    <mergeCell ref="B52:L52"/>
    <mergeCell ref="E7:L7"/>
    <mergeCell ref="E6:L6"/>
    <mergeCell ref="B8:D8"/>
    <mergeCell ref="B4:D4"/>
  </mergeCells>
  <dataValidations count="1">
    <dataValidation type="list" allowBlank="1" sqref="K11:K49" xr:uid="{00000000-0002-0000-0500-000000000000}">
      <formula1>"Keep,Test again,Reject,Undecided"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Test Setup</vt:lpstr>
      <vt:lpstr>2. Glossary</vt:lpstr>
      <vt:lpstr>3. Raw Data</vt:lpstr>
      <vt:lpstr>4. Statistical Analysis</vt:lpstr>
      <vt:lpstr>5. Graphs</vt:lpstr>
      <vt:lpstr>6. Verdicts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Alchemy .</cp:lastModifiedBy>
  <dcterms:created xsi:type="dcterms:W3CDTF">2026-06-26T12:41:53Z</dcterms:created>
  <dcterms:modified xsi:type="dcterms:W3CDTF">2026-06-27T13:59:16Z</dcterms:modified>
</cp:coreProperties>
</file>
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LTRAPC\Desktop\"/>
    </mc:Choice>
  </mc:AlternateContent>
  <xr:revisionPtr revIDLastSave="0" documentId="13_ncr:1_{BC02858D-74F1-4A2B-BAD2-D604FAB48FC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1. Test Setup" sheetId="1" r:id="rId1"/>
    <sheet name="2. Glossary" sheetId="2" r:id="rId2"/>
    <sheet name="3. Raw Data" sheetId="3" r:id="rId3"/>
    <sheet name="4. Statistical Analysis" sheetId="4" r:id="rId4"/>
    <sheet name="5. Graphs" sheetId="5" r:id="rId5"/>
    <sheet name="6. Verdicts" sheetId="6" r:id="rId6"/>
  </sheets>
  <definedNames>
    <definedName name="_xlnm._FilterDatabase" localSheetId="2" hidden="1">'3. Raw Data'!$A$1:$V$118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48" i="4" l="1"/>
  <c r="T48" i="4" s="1"/>
  <c r="P48" i="4"/>
  <c r="O48" i="4"/>
  <c r="G49" i="6" s="1"/>
  <c r="N48" i="4"/>
  <c r="M48" i="4"/>
  <c r="L48" i="4"/>
  <c r="K48" i="4"/>
  <c r="J48" i="4"/>
  <c r="I48" i="4"/>
  <c r="F49" i="6" s="1"/>
  <c r="G48" i="4"/>
  <c r="U48" i="4" s="1"/>
  <c r="H49" i="6" s="1"/>
  <c r="F48" i="4"/>
  <c r="H48" i="4" s="1"/>
  <c r="E48" i="4"/>
  <c r="D49" i="6" s="1"/>
  <c r="S47" i="4"/>
  <c r="T47" i="4" s="1"/>
  <c r="P47" i="4"/>
  <c r="O47" i="4"/>
  <c r="G48" i="6" s="1"/>
  <c r="N47" i="4"/>
  <c r="M47" i="4"/>
  <c r="L47" i="4"/>
  <c r="K47" i="4"/>
  <c r="J47" i="4"/>
  <c r="I47" i="4"/>
  <c r="F48" i="6" s="1"/>
  <c r="G47" i="4"/>
  <c r="U47" i="4" s="1"/>
  <c r="H48" i="6" s="1"/>
  <c r="F47" i="4"/>
  <c r="H47" i="4" s="1"/>
  <c r="E47" i="4"/>
  <c r="D48" i="6" s="1"/>
  <c r="S46" i="4"/>
  <c r="T46" i="4" s="1"/>
  <c r="P46" i="4"/>
  <c r="O46" i="4"/>
  <c r="G47" i="6" s="1"/>
  <c r="N46" i="4"/>
  <c r="M46" i="4"/>
  <c r="L46" i="4"/>
  <c r="K46" i="4"/>
  <c r="J46" i="4"/>
  <c r="I46" i="4"/>
  <c r="F47" i="6" s="1"/>
  <c r="H46" i="4"/>
  <c r="G46" i="4"/>
  <c r="U46" i="4" s="1"/>
  <c r="H47" i="6" s="1"/>
  <c r="F46" i="4"/>
  <c r="E46" i="4"/>
  <c r="D47" i="6" s="1"/>
  <c r="S45" i="4"/>
  <c r="T45" i="4" s="1"/>
  <c r="P45" i="4"/>
  <c r="O45" i="4"/>
  <c r="G46" i="6" s="1"/>
  <c r="N45" i="4"/>
  <c r="M45" i="4"/>
  <c r="L45" i="4"/>
  <c r="K45" i="4"/>
  <c r="J45" i="4"/>
  <c r="I45" i="4"/>
  <c r="F46" i="6" s="1"/>
  <c r="F45" i="4"/>
  <c r="H45" i="4" s="1"/>
  <c r="E45" i="4"/>
  <c r="D46" i="6" s="1"/>
  <c r="S44" i="4"/>
  <c r="T44" i="4" s="1"/>
  <c r="P44" i="4"/>
  <c r="O44" i="4"/>
  <c r="G45" i="6" s="1"/>
  <c r="N44" i="4"/>
  <c r="M44" i="4"/>
  <c r="L44" i="4"/>
  <c r="K44" i="4"/>
  <c r="J44" i="4"/>
  <c r="I44" i="4"/>
  <c r="F45" i="6" s="1"/>
  <c r="F44" i="4"/>
  <c r="H44" i="4" s="1"/>
  <c r="E44" i="4"/>
  <c r="D45" i="6" s="1"/>
  <c r="T43" i="4"/>
  <c r="S43" i="4"/>
  <c r="P43" i="4"/>
  <c r="O43" i="4"/>
  <c r="G44" i="6" s="1"/>
  <c r="N43" i="4"/>
  <c r="M43" i="4"/>
  <c r="L43" i="4"/>
  <c r="K43" i="4"/>
  <c r="J43" i="4"/>
  <c r="I43" i="4"/>
  <c r="F44" i="6" s="1"/>
  <c r="H43" i="4"/>
  <c r="F43" i="4"/>
  <c r="E43" i="4"/>
  <c r="D44" i="6" s="1"/>
  <c r="T42" i="4"/>
  <c r="S42" i="4"/>
  <c r="P42" i="4"/>
  <c r="O42" i="4"/>
  <c r="G43" i="6" s="1"/>
  <c r="N42" i="4"/>
  <c r="M42" i="4"/>
  <c r="L42" i="4"/>
  <c r="K42" i="4"/>
  <c r="J42" i="4"/>
  <c r="I42" i="4"/>
  <c r="F43" i="6" s="1"/>
  <c r="H42" i="4"/>
  <c r="F42" i="4"/>
  <c r="E42" i="4"/>
  <c r="Q42" i="4" s="1"/>
  <c r="T41" i="4"/>
  <c r="S41" i="4"/>
  <c r="P41" i="4"/>
  <c r="O41" i="4"/>
  <c r="G42" i="6" s="1"/>
  <c r="N41" i="4"/>
  <c r="M41" i="4"/>
  <c r="L41" i="4"/>
  <c r="K41" i="4"/>
  <c r="J41" i="4"/>
  <c r="I41" i="4"/>
  <c r="F42" i="6" s="1"/>
  <c r="F41" i="4"/>
  <c r="H41" i="4" s="1"/>
  <c r="E41" i="4"/>
  <c r="D42" i="6" s="1"/>
  <c r="T40" i="4"/>
  <c r="S40" i="4"/>
  <c r="P40" i="4"/>
  <c r="O40" i="4"/>
  <c r="G41" i="6" s="1"/>
  <c r="N40" i="4"/>
  <c r="M40" i="4"/>
  <c r="L40" i="4"/>
  <c r="K40" i="4"/>
  <c r="J40" i="4"/>
  <c r="I40" i="4"/>
  <c r="F41" i="6" s="1"/>
  <c r="F40" i="4"/>
  <c r="H40" i="4" s="1"/>
  <c r="E40" i="4"/>
  <c r="D41" i="6" s="1"/>
  <c r="T39" i="4"/>
  <c r="S39" i="4"/>
  <c r="P39" i="4"/>
  <c r="O39" i="4"/>
  <c r="G40" i="6" s="1"/>
  <c r="N39" i="4"/>
  <c r="M39" i="4"/>
  <c r="L39" i="4"/>
  <c r="K39" i="4"/>
  <c r="J39" i="4"/>
  <c r="I39" i="4"/>
  <c r="F40" i="6" s="1"/>
  <c r="H39" i="4"/>
  <c r="F39" i="4"/>
  <c r="G39" i="4" s="1"/>
  <c r="U39" i="4" s="1"/>
  <c r="H40" i="6" s="1"/>
  <c r="E39" i="4"/>
  <c r="D40" i="6" s="1"/>
  <c r="T38" i="4"/>
  <c r="S38" i="4"/>
  <c r="P38" i="4"/>
  <c r="O38" i="4"/>
  <c r="G39" i="6" s="1"/>
  <c r="N38" i="4"/>
  <c r="M38" i="4"/>
  <c r="L38" i="4"/>
  <c r="K38" i="4"/>
  <c r="J38" i="4"/>
  <c r="I38" i="4"/>
  <c r="F39" i="6" s="1"/>
  <c r="H38" i="4"/>
  <c r="F38" i="4"/>
  <c r="G38" i="4" s="1"/>
  <c r="U38" i="4" s="1"/>
  <c r="H39" i="6" s="1"/>
  <c r="E38" i="4"/>
  <c r="D39" i="6" s="1"/>
  <c r="T37" i="4"/>
  <c r="S37" i="4"/>
  <c r="P37" i="4"/>
  <c r="O37" i="4"/>
  <c r="G38" i="6" s="1"/>
  <c r="N37" i="4"/>
  <c r="M37" i="4"/>
  <c r="L37" i="4"/>
  <c r="K37" i="4"/>
  <c r="J37" i="4"/>
  <c r="I37" i="4"/>
  <c r="F38" i="6" s="1"/>
  <c r="H37" i="4"/>
  <c r="F37" i="4"/>
  <c r="G37" i="4" s="1"/>
  <c r="U37" i="4" s="1"/>
  <c r="H38" i="6" s="1"/>
  <c r="E37" i="4"/>
  <c r="Q37" i="4" s="1"/>
  <c r="S36" i="4"/>
  <c r="T36" i="4" s="1"/>
  <c r="P36" i="4"/>
  <c r="O36" i="4"/>
  <c r="G37" i="6" s="1"/>
  <c r="N36" i="4"/>
  <c r="M36" i="4"/>
  <c r="L36" i="4"/>
  <c r="K36" i="4"/>
  <c r="J36" i="4"/>
  <c r="I36" i="4"/>
  <c r="F37" i="6" s="1"/>
  <c r="F36" i="4"/>
  <c r="H36" i="4" s="1"/>
  <c r="E36" i="4"/>
  <c r="D37" i="6" s="1"/>
  <c r="S35" i="4"/>
  <c r="T35" i="4" s="1"/>
  <c r="P35" i="4"/>
  <c r="O35" i="4"/>
  <c r="G36" i="6" s="1"/>
  <c r="N35" i="4"/>
  <c r="M35" i="4"/>
  <c r="L35" i="4"/>
  <c r="K35" i="4"/>
  <c r="J35" i="4"/>
  <c r="I35" i="4"/>
  <c r="F36" i="6" s="1"/>
  <c r="F35" i="4"/>
  <c r="H35" i="4" s="1"/>
  <c r="E35" i="4"/>
  <c r="D36" i="6" s="1"/>
  <c r="S34" i="4"/>
  <c r="T34" i="4" s="1"/>
  <c r="P34" i="4"/>
  <c r="O34" i="4"/>
  <c r="G35" i="6" s="1"/>
  <c r="N34" i="4"/>
  <c r="M34" i="4"/>
  <c r="L34" i="4"/>
  <c r="K34" i="4"/>
  <c r="J34" i="4"/>
  <c r="I34" i="4"/>
  <c r="F35" i="6" s="1"/>
  <c r="F34" i="4"/>
  <c r="H34" i="4" s="1"/>
  <c r="E34" i="4"/>
  <c r="G34" i="4" s="1"/>
  <c r="U34" i="4" s="1"/>
  <c r="H35" i="6" s="1"/>
  <c r="S33" i="4"/>
  <c r="T33" i="4" s="1"/>
  <c r="P33" i="4"/>
  <c r="O33" i="4"/>
  <c r="G34" i="6" s="1"/>
  <c r="N33" i="4"/>
  <c r="M33" i="4"/>
  <c r="L33" i="4"/>
  <c r="K33" i="4"/>
  <c r="J33" i="4"/>
  <c r="I33" i="4"/>
  <c r="F34" i="6" s="1"/>
  <c r="F33" i="4"/>
  <c r="H33" i="4" s="1"/>
  <c r="E33" i="4"/>
  <c r="G33" i="4" s="1"/>
  <c r="U33" i="4" s="1"/>
  <c r="H34" i="6" s="1"/>
  <c r="U32" i="4"/>
  <c r="H33" i="6" s="1"/>
  <c r="S32" i="4"/>
  <c r="T32" i="4" s="1"/>
  <c r="P32" i="4"/>
  <c r="O32" i="4"/>
  <c r="G33" i="6" s="1"/>
  <c r="N32" i="4"/>
  <c r="M32" i="4"/>
  <c r="L32" i="4"/>
  <c r="K32" i="4"/>
  <c r="J32" i="4"/>
  <c r="I32" i="4"/>
  <c r="F33" i="6" s="1"/>
  <c r="H32" i="4"/>
  <c r="G32" i="4"/>
  <c r="F32" i="4"/>
  <c r="E32" i="4"/>
  <c r="D33" i="6" s="1"/>
  <c r="S31" i="4"/>
  <c r="T31" i="4" s="1"/>
  <c r="P31" i="4"/>
  <c r="O31" i="4"/>
  <c r="G32" i="6" s="1"/>
  <c r="N31" i="4"/>
  <c r="M31" i="4"/>
  <c r="L31" i="4"/>
  <c r="K31" i="4"/>
  <c r="J31" i="4"/>
  <c r="I31" i="4"/>
  <c r="F32" i="6" s="1"/>
  <c r="H31" i="4"/>
  <c r="G31" i="4"/>
  <c r="U31" i="4" s="1"/>
  <c r="H32" i="6" s="1"/>
  <c r="F31" i="4"/>
  <c r="E31" i="4"/>
  <c r="D32" i="6" s="1"/>
  <c r="S30" i="4"/>
  <c r="T30" i="4" s="1"/>
  <c r="P30" i="4"/>
  <c r="O30" i="4"/>
  <c r="G31" i="6" s="1"/>
  <c r="N30" i="4"/>
  <c r="M30" i="4"/>
  <c r="L30" i="4"/>
  <c r="K30" i="4"/>
  <c r="J30" i="4"/>
  <c r="I30" i="4"/>
  <c r="F31" i="6" s="1"/>
  <c r="H30" i="4"/>
  <c r="G30" i="4"/>
  <c r="U30" i="4" s="1"/>
  <c r="H31" i="6" s="1"/>
  <c r="F30" i="4"/>
  <c r="E30" i="4"/>
  <c r="D31" i="6" s="1"/>
  <c r="T29" i="4"/>
  <c r="S29" i="4"/>
  <c r="P29" i="4"/>
  <c r="O29" i="4"/>
  <c r="G30" i="6" s="1"/>
  <c r="N29" i="4"/>
  <c r="M29" i="4"/>
  <c r="L29" i="4"/>
  <c r="K29" i="4"/>
  <c r="J29" i="4"/>
  <c r="I29" i="4"/>
  <c r="F30" i="6" s="1"/>
  <c r="H29" i="4"/>
  <c r="F29" i="4"/>
  <c r="G29" i="4" s="1"/>
  <c r="U29" i="4" s="1"/>
  <c r="H30" i="6" s="1"/>
  <c r="E29" i="4"/>
  <c r="D30" i="6" s="1"/>
  <c r="T28" i="4"/>
  <c r="S28" i="4"/>
  <c r="P28" i="4"/>
  <c r="O28" i="4"/>
  <c r="G29" i="6" s="1"/>
  <c r="N28" i="4"/>
  <c r="M28" i="4"/>
  <c r="L28" i="4"/>
  <c r="K28" i="4"/>
  <c r="J28" i="4"/>
  <c r="I28" i="4"/>
  <c r="F29" i="6" s="1"/>
  <c r="H28" i="4"/>
  <c r="F28" i="4"/>
  <c r="G28" i="4" s="1"/>
  <c r="U28" i="4" s="1"/>
  <c r="H29" i="6" s="1"/>
  <c r="E28" i="4"/>
  <c r="D29" i="6" s="1"/>
  <c r="T27" i="4"/>
  <c r="S27" i="4"/>
  <c r="P27" i="4"/>
  <c r="O27" i="4"/>
  <c r="G28" i="6" s="1"/>
  <c r="N27" i="4"/>
  <c r="M27" i="4"/>
  <c r="L27" i="4"/>
  <c r="K27" i="4"/>
  <c r="J27" i="4"/>
  <c r="I27" i="4"/>
  <c r="F28" i="6" s="1"/>
  <c r="F27" i="4"/>
  <c r="G27" i="4" s="1"/>
  <c r="U27" i="4" s="1"/>
  <c r="H28" i="6" s="1"/>
  <c r="E27" i="4"/>
  <c r="D28" i="6" s="1"/>
  <c r="T26" i="4"/>
  <c r="S26" i="4"/>
  <c r="P26" i="4"/>
  <c r="O26" i="4"/>
  <c r="G27" i="6" s="1"/>
  <c r="N26" i="4"/>
  <c r="M26" i="4"/>
  <c r="L26" i="4"/>
  <c r="K26" i="4"/>
  <c r="J26" i="4"/>
  <c r="I26" i="4"/>
  <c r="F27" i="6" s="1"/>
  <c r="F26" i="4"/>
  <c r="H26" i="4" s="1"/>
  <c r="E26" i="4"/>
  <c r="D27" i="6" s="1"/>
  <c r="T25" i="4"/>
  <c r="S25" i="4"/>
  <c r="P25" i="4"/>
  <c r="O25" i="4"/>
  <c r="G26" i="6" s="1"/>
  <c r="N25" i="4"/>
  <c r="M25" i="4"/>
  <c r="L25" i="4"/>
  <c r="K25" i="4"/>
  <c r="J25" i="4"/>
  <c r="I25" i="4"/>
  <c r="F26" i="6" s="1"/>
  <c r="H25" i="4"/>
  <c r="F25" i="4"/>
  <c r="G25" i="4" s="1"/>
  <c r="U25" i="4" s="1"/>
  <c r="H26" i="6" s="1"/>
  <c r="E25" i="4"/>
  <c r="Q25" i="4" s="1"/>
  <c r="S24" i="4"/>
  <c r="T24" i="4" s="1"/>
  <c r="P24" i="4"/>
  <c r="O24" i="4"/>
  <c r="G25" i="6" s="1"/>
  <c r="N24" i="4"/>
  <c r="M24" i="4"/>
  <c r="L24" i="4"/>
  <c r="K24" i="4"/>
  <c r="J24" i="4"/>
  <c r="I24" i="4"/>
  <c r="F25" i="6" s="1"/>
  <c r="F24" i="4"/>
  <c r="H24" i="4" s="1"/>
  <c r="E24" i="4"/>
  <c r="D25" i="6" s="1"/>
  <c r="S23" i="4"/>
  <c r="T23" i="4" s="1"/>
  <c r="P23" i="4"/>
  <c r="O23" i="4"/>
  <c r="G24" i="6" s="1"/>
  <c r="N23" i="4"/>
  <c r="M23" i="4"/>
  <c r="L23" i="4"/>
  <c r="K23" i="4"/>
  <c r="J23" i="4"/>
  <c r="I23" i="4"/>
  <c r="F24" i="6" s="1"/>
  <c r="F23" i="4"/>
  <c r="H23" i="4" s="1"/>
  <c r="E23" i="4"/>
  <c r="D24" i="6" s="1"/>
  <c r="S22" i="4"/>
  <c r="T22" i="4" s="1"/>
  <c r="P22" i="4"/>
  <c r="O22" i="4"/>
  <c r="G23" i="6" s="1"/>
  <c r="N22" i="4"/>
  <c r="M22" i="4"/>
  <c r="L22" i="4"/>
  <c r="K22" i="4"/>
  <c r="J22" i="4"/>
  <c r="I22" i="4"/>
  <c r="F23" i="6" s="1"/>
  <c r="G22" i="4"/>
  <c r="U22" i="4" s="1"/>
  <c r="H23" i="6" s="1"/>
  <c r="F22" i="4"/>
  <c r="H22" i="4" s="1"/>
  <c r="E22" i="4"/>
  <c r="D23" i="6" s="1"/>
  <c r="U21" i="4"/>
  <c r="H22" i="6" s="1"/>
  <c r="S21" i="4"/>
  <c r="T21" i="4" s="1"/>
  <c r="P21" i="4"/>
  <c r="O21" i="4"/>
  <c r="G22" i="6" s="1"/>
  <c r="N21" i="4"/>
  <c r="M21" i="4"/>
  <c r="L21" i="4"/>
  <c r="K21" i="4"/>
  <c r="J21" i="4"/>
  <c r="I21" i="4"/>
  <c r="F22" i="6" s="1"/>
  <c r="G21" i="4"/>
  <c r="F21" i="4"/>
  <c r="H21" i="4" s="1"/>
  <c r="E21" i="4"/>
  <c r="D22" i="6" s="1"/>
  <c r="S20" i="4"/>
  <c r="T20" i="4" s="1"/>
  <c r="P20" i="4"/>
  <c r="O20" i="4"/>
  <c r="G21" i="6" s="1"/>
  <c r="N20" i="4"/>
  <c r="M20" i="4"/>
  <c r="L20" i="4"/>
  <c r="K20" i="4"/>
  <c r="J20" i="4"/>
  <c r="I20" i="4"/>
  <c r="F21" i="6" s="1"/>
  <c r="H20" i="4"/>
  <c r="F20" i="4"/>
  <c r="E20" i="4"/>
  <c r="D21" i="6" s="1"/>
  <c r="S19" i="4"/>
  <c r="T19" i="4" s="1"/>
  <c r="P19" i="4"/>
  <c r="O19" i="4"/>
  <c r="G20" i="6" s="1"/>
  <c r="N19" i="4"/>
  <c r="M19" i="4"/>
  <c r="L19" i="4"/>
  <c r="K19" i="4"/>
  <c r="J19" i="4"/>
  <c r="I19" i="4"/>
  <c r="F20" i="6" s="1"/>
  <c r="H19" i="4"/>
  <c r="G19" i="4"/>
  <c r="U19" i="4" s="1"/>
  <c r="H20" i="6" s="1"/>
  <c r="F19" i="4"/>
  <c r="E19" i="4"/>
  <c r="D20" i="6" s="1"/>
  <c r="S18" i="4"/>
  <c r="T18" i="4" s="1"/>
  <c r="P18" i="4"/>
  <c r="O18" i="4"/>
  <c r="G19" i="6" s="1"/>
  <c r="N18" i="4"/>
  <c r="M18" i="4"/>
  <c r="L18" i="4"/>
  <c r="K18" i="4"/>
  <c r="J18" i="4"/>
  <c r="I18" i="4"/>
  <c r="F19" i="6" s="1"/>
  <c r="H18" i="4"/>
  <c r="G18" i="4"/>
  <c r="U18" i="4" s="1"/>
  <c r="H19" i="6" s="1"/>
  <c r="F18" i="4"/>
  <c r="E18" i="4"/>
  <c r="Q18" i="4" s="1"/>
  <c r="T17" i="4"/>
  <c r="S17" i="4"/>
  <c r="P17" i="4"/>
  <c r="O17" i="4"/>
  <c r="G18" i="6" s="1"/>
  <c r="N17" i="4"/>
  <c r="M17" i="4"/>
  <c r="L17" i="4"/>
  <c r="K17" i="4"/>
  <c r="J17" i="4"/>
  <c r="I17" i="4"/>
  <c r="F18" i="6" s="1"/>
  <c r="H17" i="4"/>
  <c r="F17" i="4"/>
  <c r="G17" i="4" s="1"/>
  <c r="U17" i="4" s="1"/>
  <c r="H18" i="6" s="1"/>
  <c r="E17" i="4"/>
  <c r="Q17" i="4" s="1"/>
  <c r="T16" i="4"/>
  <c r="S16" i="4"/>
  <c r="P16" i="4"/>
  <c r="O16" i="4"/>
  <c r="G17" i="6" s="1"/>
  <c r="N16" i="4"/>
  <c r="M16" i="4"/>
  <c r="L16" i="4"/>
  <c r="K16" i="4"/>
  <c r="J16" i="4"/>
  <c r="I16" i="4"/>
  <c r="F17" i="6" s="1"/>
  <c r="H16" i="4"/>
  <c r="F16" i="4"/>
  <c r="G16" i="4" s="1"/>
  <c r="U16" i="4" s="1"/>
  <c r="H17" i="6" s="1"/>
  <c r="E16" i="4"/>
  <c r="D17" i="6" s="1"/>
  <c r="T15" i="4"/>
  <c r="S15" i="4"/>
  <c r="R15" i="4"/>
  <c r="E16" i="6" s="1"/>
  <c r="P15" i="4"/>
  <c r="O15" i="4"/>
  <c r="G16" i="6" s="1"/>
  <c r="N15" i="4"/>
  <c r="M15" i="4"/>
  <c r="L15" i="4"/>
  <c r="K15" i="4"/>
  <c r="J15" i="4"/>
  <c r="I15" i="4"/>
  <c r="F16" i="6" s="1"/>
  <c r="F15" i="4"/>
  <c r="H15" i="4" s="1"/>
  <c r="E15" i="4"/>
  <c r="D16" i="6" s="1"/>
  <c r="T14" i="4"/>
  <c r="S14" i="4"/>
  <c r="R14" i="4"/>
  <c r="E15" i="6" s="1"/>
  <c r="P14" i="4"/>
  <c r="O14" i="4"/>
  <c r="G15" i="6" s="1"/>
  <c r="N14" i="4"/>
  <c r="M14" i="4"/>
  <c r="L14" i="4"/>
  <c r="K14" i="4"/>
  <c r="J14" i="4"/>
  <c r="I14" i="4"/>
  <c r="F15" i="6" s="1"/>
  <c r="F14" i="4"/>
  <c r="H14" i="4" s="1"/>
  <c r="E14" i="4"/>
  <c r="D15" i="6" s="1"/>
  <c r="T13" i="4"/>
  <c r="S13" i="4"/>
  <c r="P13" i="4"/>
  <c r="O13" i="4"/>
  <c r="G14" i="6" s="1"/>
  <c r="N13" i="4"/>
  <c r="M13" i="4"/>
  <c r="L13" i="4"/>
  <c r="K13" i="4"/>
  <c r="J13" i="4"/>
  <c r="I13" i="4"/>
  <c r="F14" i="6" s="1"/>
  <c r="H13" i="4"/>
  <c r="F13" i="4"/>
  <c r="G13" i="4" s="1"/>
  <c r="U13" i="4" s="1"/>
  <c r="H14" i="6" s="1"/>
  <c r="E13" i="4"/>
  <c r="Q13" i="4" s="1"/>
  <c r="S12" i="4"/>
  <c r="T12" i="4" s="1"/>
  <c r="R12" i="4"/>
  <c r="E13" i="6" s="1"/>
  <c r="P12" i="4"/>
  <c r="O12" i="4"/>
  <c r="G13" i="6" s="1"/>
  <c r="N12" i="4"/>
  <c r="M12" i="4"/>
  <c r="L12" i="4"/>
  <c r="K12" i="4"/>
  <c r="J12" i="4"/>
  <c r="I12" i="4"/>
  <c r="F13" i="6" s="1"/>
  <c r="F12" i="4"/>
  <c r="H12" i="4" s="1"/>
  <c r="E12" i="4"/>
  <c r="D13" i="6" s="1"/>
  <c r="S11" i="4"/>
  <c r="T11" i="4" s="1"/>
  <c r="R11" i="4"/>
  <c r="E12" i="6" s="1"/>
  <c r="P11" i="4"/>
  <c r="O11" i="4"/>
  <c r="G12" i="6" s="1"/>
  <c r="N11" i="4"/>
  <c r="M11" i="4"/>
  <c r="L11" i="4"/>
  <c r="K11" i="4"/>
  <c r="J11" i="4"/>
  <c r="I11" i="4"/>
  <c r="F12" i="6" s="1"/>
  <c r="F11" i="4"/>
  <c r="H11" i="4" s="1"/>
  <c r="E11" i="4"/>
  <c r="D12" i="6" s="1"/>
  <c r="P10" i="4"/>
  <c r="O10" i="4"/>
  <c r="G11" i="6" s="1"/>
  <c r="N10" i="4"/>
  <c r="M10" i="4"/>
  <c r="L10" i="4"/>
  <c r="K10" i="4"/>
  <c r="J10" i="4"/>
  <c r="I10" i="4"/>
  <c r="F11" i="6" s="1"/>
  <c r="H10" i="4"/>
  <c r="G10" i="4"/>
  <c r="U10" i="4" s="1"/>
  <c r="H11" i="6" s="1"/>
  <c r="F10" i="4"/>
  <c r="E10" i="4"/>
  <c r="R25" i="4" s="1"/>
  <c r="E26" i="6" s="1"/>
  <c r="H27" i="4" l="1"/>
  <c r="Q30" i="4"/>
  <c r="R37" i="4"/>
  <c r="E38" i="6" s="1"/>
  <c r="Q11" i="4"/>
  <c r="R18" i="4"/>
  <c r="E19" i="6" s="1"/>
  <c r="Q23" i="4"/>
  <c r="R30" i="4"/>
  <c r="E31" i="6" s="1"/>
  <c r="Q35" i="4"/>
  <c r="R42" i="4"/>
  <c r="E43" i="6" s="1"/>
  <c r="Q47" i="4"/>
  <c r="D14" i="6"/>
  <c r="D26" i="6"/>
  <c r="D38" i="6"/>
  <c r="R23" i="4"/>
  <c r="E24" i="6" s="1"/>
  <c r="Q28" i="4"/>
  <c r="Q40" i="4"/>
  <c r="G42" i="4"/>
  <c r="U42" i="4" s="1"/>
  <c r="H43" i="6" s="1"/>
  <c r="R47" i="4"/>
  <c r="E48" i="6" s="1"/>
  <c r="D19" i="6"/>
  <c r="D43" i="6"/>
  <c r="Q16" i="4"/>
  <c r="Q45" i="4"/>
  <c r="R35" i="4"/>
  <c r="E36" i="6" s="1"/>
  <c r="G11" i="4"/>
  <c r="U11" i="4" s="1"/>
  <c r="H12" i="6" s="1"/>
  <c r="R16" i="4"/>
  <c r="E17" i="6" s="1"/>
  <c r="Q21" i="4"/>
  <c r="G23" i="4"/>
  <c r="U23" i="4" s="1"/>
  <c r="H24" i="6" s="1"/>
  <c r="R28" i="4"/>
  <c r="E29" i="6" s="1"/>
  <c r="Q33" i="4"/>
  <c r="G35" i="4"/>
  <c r="U35" i="4" s="1"/>
  <c r="H36" i="6" s="1"/>
  <c r="R40" i="4"/>
  <c r="E41" i="6" s="1"/>
  <c r="Q14" i="4"/>
  <c r="R21" i="4"/>
  <c r="E22" i="6" s="1"/>
  <c r="Q26" i="4"/>
  <c r="R33" i="4"/>
  <c r="E34" i="6" s="1"/>
  <c r="Q38" i="4"/>
  <c r="G40" i="4"/>
  <c r="U40" i="4" s="1"/>
  <c r="H41" i="6" s="1"/>
  <c r="R45" i="4"/>
  <c r="E46" i="6" s="1"/>
  <c r="R26" i="4"/>
  <c r="E27" i="6" s="1"/>
  <c r="Q43" i="4"/>
  <c r="G45" i="4"/>
  <c r="U45" i="4" s="1"/>
  <c r="H46" i="6" s="1"/>
  <c r="D34" i="6"/>
  <c r="Q19" i="4"/>
  <c r="Q31" i="4"/>
  <c r="R38" i="4"/>
  <c r="E39" i="6" s="1"/>
  <c r="Q12" i="4"/>
  <c r="G14" i="4"/>
  <c r="U14" i="4" s="1"/>
  <c r="H15" i="6" s="1"/>
  <c r="R19" i="4"/>
  <c r="E20" i="6" s="1"/>
  <c r="Q24" i="4"/>
  <c r="G26" i="4"/>
  <c r="U26" i="4" s="1"/>
  <c r="H27" i="6" s="1"/>
  <c r="R31" i="4"/>
  <c r="E32" i="6" s="1"/>
  <c r="Q36" i="4"/>
  <c r="R43" i="4"/>
  <c r="E44" i="6" s="1"/>
  <c r="Q48" i="4"/>
  <c r="R24" i="4"/>
  <c r="E25" i="6" s="1"/>
  <c r="Q41" i="4"/>
  <c r="G43" i="4"/>
  <c r="U43" i="4" s="1"/>
  <c r="H44" i="6" s="1"/>
  <c r="R48" i="4"/>
  <c r="E49" i="6" s="1"/>
  <c r="Q46" i="4"/>
  <c r="Q29" i="4"/>
  <c r="R36" i="4"/>
  <c r="E37" i="6" s="1"/>
  <c r="G12" i="4"/>
  <c r="U12" i="4" s="1"/>
  <c r="H13" i="6" s="1"/>
  <c r="R17" i="4"/>
  <c r="E18" i="6" s="1"/>
  <c r="Q22" i="4"/>
  <c r="G24" i="4"/>
  <c r="U24" i="4" s="1"/>
  <c r="H25" i="6" s="1"/>
  <c r="R29" i="4"/>
  <c r="E30" i="6" s="1"/>
  <c r="Q34" i="4"/>
  <c r="G36" i="4"/>
  <c r="U36" i="4" s="1"/>
  <c r="H37" i="6" s="1"/>
  <c r="R41" i="4"/>
  <c r="E42" i="6" s="1"/>
  <c r="Q15" i="4"/>
  <c r="R22" i="4"/>
  <c r="E23" i="6" s="1"/>
  <c r="Q27" i="4"/>
  <c r="R34" i="4"/>
  <c r="E35" i="6" s="1"/>
  <c r="Q39" i="4"/>
  <c r="G41" i="4"/>
  <c r="U41" i="4" s="1"/>
  <c r="H42" i="6" s="1"/>
  <c r="R46" i="4"/>
  <c r="E47" i="6" s="1"/>
  <c r="D18" i="6"/>
  <c r="R27" i="4"/>
  <c r="E28" i="6" s="1"/>
  <c r="Q44" i="4"/>
  <c r="D35" i="6"/>
  <c r="Q20" i="4"/>
  <c r="Q32" i="4"/>
  <c r="R39" i="4"/>
  <c r="E40" i="6" s="1"/>
  <c r="G15" i="4"/>
  <c r="U15" i="4" s="1"/>
  <c r="H16" i="6" s="1"/>
  <c r="R20" i="4"/>
  <c r="E21" i="6" s="1"/>
  <c r="R32" i="4"/>
  <c r="E33" i="6" s="1"/>
  <c r="R44" i="4"/>
  <c r="E45" i="6" s="1"/>
  <c r="D11" i="6"/>
  <c r="R13" i="4"/>
  <c r="E14" i="6" s="1"/>
  <c r="G20" i="4"/>
  <c r="U20" i="4" s="1"/>
  <c r="H21" i="6" s="1"/>
  <c r="G44" i="4"/>
  <c r="U44" i="4" s="1"/>
  <c r="H45" i="6" s="1"/>
</calcChain>
</file>

<file path=xl/sharedStrings.xml><?xml version="1.0" encoding="utf-8"?>
<sst xmlns="http://schemas.openxmlformats.org/spreadsheetml/2006/main" count="922" uniqueCount="410">
  <si>
    <t>Windows Power-Plan DPC/ISR Latency Benchmark - Test Setup &amp; Methodology</t>
  </si>
  <si>
    <t>Validation of kernel interrupt/DPC latency per power plan - integrity-first, repeated captures (lower microseconds = better)</t>
  </si>
  <si>
    <t>1 - System Under Test (Hardware)</t>
  </si>
  <si>
    <t>HOW TO READ THIS WORKBOOK</t>
  </si>
  <si>
    <t>CPU</t>
  </si>
  <si>
    <t>Intel(R) Core(TM) i5-10400F CPU @ 2.90GHz  (6 cores / 12 threads)</t>
  </si>
  <si>
    <t>Sheet 2 - Glossary</t>
  </si>
  <si>
    <t>GPU</t>
  </si>
  <si>
    <t>AMD Radeon RX 5700 XT  (same rig as the FPS benchmark)</t>
  </si>
  <si>
    <t>Plain-language explanation of DPC, ISR, percentiles, %CPU-busy and every term used here. Start here.</t>
  </si>
  <si>
    <t>Machine</t>
  </si>
  <si>
    <t>WORKSTATION</t>
  </si>
  <si>
    <t>Sheet 3 - Raw Data</t>
  </si>
  <si>
    <t>2 - Operating System &amp; Power Plans</t>
  </si>
  <si>
    <t>Every run (117 rows): DPC/ISR percentiles, interrupt load, CPU clock, plus a per-second DPC-load series.</t>
  </si>
  <si>
    <t>Operating System</t>
  </si>
  <si>
    <t>Windows 11 Pro  (Build 26200)</t>
  </si>
  <si>
    <t>What changed</t>
  </si>
  <si>
    <t>Windows Power Plan only - 39 plans tested back-to-back on the identical OS image and hardware. Nothing else altered between conditions.</t>
  </si>
  <si>
    <t>Sheet 4 - Statistical Analysis</t>
  </si>
  <si>
    <t>Stock references</t>
  </si>
  <si>
    <t>'High performance' and 'Ultimate Performance' are Microsoft's built-in plans, kept as neutral baselines.</t>
  </si>
  <si>
    <t>Per-plan mean +/- SD, CV%, 95% CI, Welch t-test vs the best plan. Live formulas from Sheet 3.</t>
  </si>
  <si>
    <t>3 - Workload / Scene</t>
  </si>
  <si>
    <t>Sheet 5 - Graphs</t>
  </si>
  <si>
    <t>Scene</t>
  </si>
  <si>
    <t>Same custom 1v1 map, fixed STATIC scene as the FPS test. Identical scene captured repeatedly so the only variable is the power plan.</t>
  </si>
  <si>
    <t>All charts, each with a caption. Lower bars = better (less latency / load).</t>
  </si>
  <si>
    <t>4 - Capture Tool &amp; Protocol</t>
  </si>
  <si>
    <t>Sheet 6 - Verdicts</t>
  </si>
  <si>
    <t>Capture tool</t>
  </si>
  <si>
    <t>Strict analyst verdict per plan + headline recommendation.</t>
  </si>
  <si>
    <t>Measurement engine</t>
  </si>
  <si>
    <t>Windows Performance Toolkit xperf - kernel ETW trace of DPC (Deferred Procedure Call) and ISR (Interrupt Service Routine) latency.</t>
  </si>
  <si>
    <t>Captures per plan</t>
  </si>
  <si>
    <t>3 repeated runs per plan</t>
  </si>
  <si>
    <t>Lower is better</t>
  </si>
  <si>
    <t>Capture length</t>
  </si>
  <si>
    <t>30 s requested per run (~40 s trace incl. overhead)</t>
  </si>
  <si>
    <t>Unlike the FPS workbook, every metric here is a latency or load figure: SMALLER numbers are better.</t>
  </si>
  <si>
    <t>Warm-up</t>
  </si>
  <si>
    <t>First 5 s discarded; CPU-load metrics computed on the post-warm-up window. Percentiles are whole-trace (histogram-based, cannot be re-trimmed).</t>
  </si>
  <si>
    <t>Primary metric</t>
  </si>
  <si>
    <t>DPC 99th-percentile latency (us) - the worst-case DPC duration that drives micro-stutter &amp; input-lag spikes. Lower is better.</t>
  </si>
  <si>
    <t>Supporting metrics</t>
  </si>
  <si>
    <t>DPC p999, DPC/ISR %CPU-busy &amp; us/s (interrupt load), ISR p99, combined kernel load, CPU clock held.</t>
  </si>
  <si>
    <t>5 - Dataset Integrity Summary</t>
  </si>
  <si>
    <t>Total valid runs</t>
  </si>
  <si>
    <t>117  (39 plans x 3 runs)</t>
  </si>
  <si>
    <t>Lost ETW events / buffers</t>
  </si>
  <si>
    <t>0 across every run - clean traces.</t>
  </si>
  <si>
    <t>CPU clock during tests</t>
  </si>
  <si>
    <t>Held at ~99-100% of base on ALL plans (eff. ~2889 MHz). No plan throttled, so differences are pure DPC/ISR behaviour, not clock speed.</t>
  </si>
  <si>
    <t>DPC source</t>
  </si>
  <si>
    <t>DPC time dominated by the GPU driver (dxgkrnl.sys) on 100%% of runs - expected for a GPU workload.</t>
  </si>
  <si>
    <t>Absolute-latency context</t>
  </si>
  <si>
    <t>All plans land at DPC p99 = 115-196 us, well below the ~500-1000 us range where DPC latency becomes audibly/perceptibly problematic. Differences are real and measurable, but every plan is in healthy territory.</t>
  </si>
  <si>
    <t>Run-to-run repeatability</t>
  </si>
  <si>
    <t>Median per-plan CV = 0.92% on DPC p99 (5 plans are noisier - flagged in Verdicts).</t>
  </si>
  <si>
    <t>Glossary - latency terms in plain language</t>
  </si>
  <si>
    <t>This is a DPC/ISR latency benchmark: every number is microseconds (us) of latency or % of CPU spent on interrupts. SMALLER = better.</t>
  </si>
  <si>
    <t>A.  Latency &amp; load metrics  (lower is better)</t>
  </si>
  <si>
    <t>Term</t>
  </si>
  <si>
    <t>Plain-language meaning</t>
  </si>
  <si>
    <t>Better when</t>
  </si>
  <si>
    <t>Found in</t>
  </si>
  <si>
    <t>DPC</t>
  </si>
  <si>
    <t>Deferred Procedure Call - lower-priority kernel work a driver queues to run just after an interrupt. Long DPCs block other work and cause micro-stutter, audio pops and input-lag spikes.</t>
  </si>
  <si>
    <t>Lower</t>
  </si>
  <si>
    <t>whole workbook</t>
  </si>
  <si>
    <t>ISR</t>
  </si>
  <si>
    <t>Interrupt Service Routine - the immediate handler that runs the instant a device interrupts the CPU. Should be very short.</t>
  </si>
  <si>
    <t>Raw P-R</t>
  </si>
  <si>
    <t>p50 / p90 (us)</t>
  </si>
  <si>
    <t>Median and 90th-percentile latency, in microseconds. Typical-case behaviour.</t>
  </si>
  <si>
    <t>Raw F,G,N,O</t>
  </si>
  <si>
    <t>DPC p99 (us)</t>
  </si>
  <si>
    <t>99th-percentile DPC latency = worst-case among all but the rarest 1% of DPCs. THE headline responsiveness metric in this workbook.</t>
  </si>
  <si>
    <t>Raw H / Stats E</t>
  </si>
  <si>
    <t>DPC p999 (us)</t>
  </si>
  <si>
    <t>99.9th percentile - the deepest spikes. Here it is limited by the tool's histogram bands, so it barely separates plans.</t>
  </si>
  <si>
    <t>Raw I / Stats I</t>
  </si>
  <si>
    <t>DPC / ISR %CPU busy</t>
  </si>
  <si>
    <t>Share of total CPU time spent inside DPCs / ISRs (averaged over all 12 logical CPUs). Interrupt overhead. Warm-up-trimmed.</t>
  </si>
  <si>
    <t>Raw J,R / Stats J,N</t>
  </si>
  <si>
    <t>DPC / ISR us/s</t>
  </si>
  <si>
    <t>Microseconds of DPC/ISR time per second of wall-clock - another view of interrupt load.</t>
  </si>
  <si>
    <t>Raw K,T</t>
  </si>
  <si>
    <t>Combined %CPU busy</t>
  </si>
  <si>
    <t>DPC + ISR load added together - one number for total kernel interrupt overhead.</t>
  </si>
  <si>
    <t>Raw S / Stats O</t>
  </si>
  <si>
    <t>DPC max band (us)</t>
  </si>
  <si>
    <t>Upper edge of the slowest latency bucket that had any DPCs - the single worst spike region.</t>
  </si>
  <si>
    <t>Raw L</t>
  </si>
  <si>
    <t>DPC &gt;64us tail %</t>
  </si>
  <si>
    <t>Percentage of DPCs that took longer than 64 us - how often long DPCs happen.</t>
  </si>
  <si>
    <t>Raw M</t>
  </si>
  <si>
    <t>B.  Capture &amp; integrity terms</t>
  </si>
  <si>
    <t>Run</t>
  </si>
  <si>
    <t>One ~40 s xperf capture. Each plan was tested 3 times (Run 1-3).</t>
  </si>
  <si>
    <t>Neutral</t>
  </si>
  <si>
    <t>Raw B</t>
  </si>
  <si>
    <t>Trace (s)</t>
  </si>
  <si>
    <t>Length of the captured trace (~40 s incl. overhead beyond the 30 s requested).</t>
  </si>
  <si>
    <t>Raw D</t>
  </si>
  <si>
    <t>Lost evt+buf</t>
  </si>
  <si>
    <t>ETW events/buffers dropped during capture. 0 = a clean, trustworthy trace.</t>
  </si>
  <si>
    <t>0</t>
  </si>
  <si>
    <t>Raw E</t>
  </si>
  <si>
    <t>First 5 s discarded for the load metrics. Percentiles are whole-trace (histogram-based, cannot be re-trimmed).</t>
  </si>
  <si>
    <t>method</t>
  </si>
  <si>
    <t>CPU perf % / eff MHz</t>
  </si>
  <si>
    <t>How hard the CPU ran. ~99% / ~2890 MHz on every plan = no throttling, so results reflect DPC/ISR scheduling only.</t>
  </si>
  <si>
    <t>context</t>
  </si>
  <si>
    <t>Raw U,V</t>
  </si>
  <si>
    <t>Per-second DPC %busy</t>
  </si>
  <si>
    <t>DPC load measured each second of the run - shows stability over time within one capture (Chart 4).</t>
  </si>
  <si>
    <t>Lower/flatter</t>
  </si>
  <si>
    <t>Raw s01...</t>
  </si>
  <si>
    <t>C.  Statistical terms</t>
  </si>
  <si>
    <t>Mean</t>
  </si>
  <si>
    <t>Average of the 3 runs.</t>
  </si>
  <si>
    <t>Stats E...</t>
  </si>
  <si>
    <t>+/- SD</t>
  </si>
  <si>
    <t>Spread of the 3 runs around the mean. Small = runs agreed.</t>
  </si>
  <si>
    <t>Stats F</t>
  </si>
  <si>
    <t>CV %</t>
  </si>
  <si>
    <t>SD / mean as a %. Fair consistency comparison across plans.</t>
  </si>
  <si>
    <t>Stats G</t>
  </si>
  <si>
    <t>95% CI +/-</t>
  </si>
  <si>
    <t>The mean is reliable to about +/- this (n=3, df=2, t=4.303). Wide because only 3 runs.</t>
  </si>
  <si>
    <t>Smaller</t>
  </si>
  <si>
    <t>Stats H</t>
  </si>
  <si>
    <t>Delta vs best (us / %)</t>
  </si>
  <si>
    <t>How much higher this plan's DPC p99 is than the #1 plan.</t>
  </si>
  <si>
    <t>Closer to 0</t>
  </si>
  <si>
    <t>Stats Q,R</t>
  </si>
  <si>
    <t>Welch p vs best</t>
  </si>
  <si>
    <t>Probability the gap to #1 is just luck. p&lt;0.05 = real; 'tie' = not separable from the best.</t>
  </si>
  <si>
    <t>Stats S</t>
  </si>
  <si>
    <t>Sig? / Stat. tie</t>
  </si>
  <si>
    <t>'yes' = significantly worse than #1. 'tie' = as good as #1.</t>
  </si>
  <si>
    <t>'tie' good</t>
  </si>
  <si>
    <t>Stats T</t>
  </si>
  <si>
    <t>Repeatability</t>
  </si>
  <si>
    <t>From DPC p99 CV%: Excellent &lt;1, Good &lt;2, Fair &lt;4, Poor &gt;=4.</t>
  </si>
  <si>
    <t>Excellent</t>
  </si>
  <si>
    <t>Stats U</t>
  </si>
  <si>
    <t>ANOVA (F,p)</t>
  </si>
  <si>
    <t>One test: do the plans really differ beyond run noise? Tiny p (~4e-30) = yes.</t>
  </si>
  <si>
    <t>Stats top</t>
  </si>
  <si>
    <t>MSFT stock</t>
  </si>
  <si>
    <t>Microsoft built-in plans (High performance, Ultimate Performance) - neutral baselines.</t>
  </si>
  <si>
    <t>highlighted</t>
  </si>
  <si>
    <t>Plan</t>
  </si>
  <si>
    <t>Windows Plan</t>
  </si>
  <si>
    <t>Trace
(s)</t>
  </si>
  <si>
    <t>Lost
evt+buf</t>
  </si>
  <si>
    <t>DPC p50
(us)</t>
  </si>
  <si>
    <t>DPC p90
(us)</t>
  </si>
  <si>
    <t>DPC p99
(us)</t>
  </si>
  <si>
    <t>DPC p999
(us)</t>
  </si>
  <si>
    <t>DPC %CPU
busy</t>
  </si>
  <si>
    <t>DPC us/s</t>
  </si>
  <si>
    <t>DPC max
band (us)</t>
  </si>
  <si>
    <t>DPC &gt;64us
tail %</t>
  </si>
  <si>
    <t>ISR p50
(us)</t>
  </si>
  <si>
    <t>ISR p90
(us)</t>
  </si>
  <si>
    <t>ISR p99
(us)</t>
  </si>
  <si>
    <t>ISR p999
(us)</t>
  </si>
  <si>
    <t>ISR %CPU
busy</t>
  </si>
  <si>
    <t>Comb %CPU
busy</t>
  </si>
  <si>
    <t>Comb us/s</t>
  </si>
  <si>
    <t>CPU perf
% avg</t>
  </si>
  <si>
    <t>CPU eff
MHz</t>
  </si>
  <si>
    <t>Per-second DPC %CPU-busy -&gt;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</si>
  <si>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</si>
  <si>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</si>
  <si>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</si>
  <si>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</si>
  <si>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</si>
  <si>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</si>
  <si>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</si>
  <si>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</si>
  <si>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</si>
  <si>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</si>
  <si>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</si>
  <si>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</si>
  <si>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</si>
  <si>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</si>
  <si>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</si>
  <si>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</si>
  <si>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</si>
  <si>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</si>
  <si>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</si>
  <si>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</si>
  <si>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</si>
  <si>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</si>
  <si>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</si>
  <si>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</si>
  <si>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</si>
  <si>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</si>
  <si>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</si>
  <si>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</si>
  <si>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</si>
  <si>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</si>
  <si>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</si>
  <si>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</si>
  <si>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</si>
  <si>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</si>
  <si>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</si>
  <si>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</si>
  <si>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</si>
  <si>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</si>
  <si>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</si>
  <si>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</si>
  <si>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</si>
  <si>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</si>
  <si>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</si>
  <si>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</si>
  <si>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</si>
  <si>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Kizzimo's Extreme Low Latency</t>
  </si>
  <si>
    <t>Lowest Latency</t>
  </si>
  <si>
    <t>_Reticle_</t>
  </si>
  <si>
    <t>&lt;Reticle&gt;</t>
  </si>
  <si>
    <t>amit's low latency powerplan</t>
  </si>
  <si>
    <t>Mitstas IDLE ENABLED</t>
  </si>
  <si>
    <t>GTweaks Power Plan V3</t>
  </si>
  <si>
    <t>RIP Tweaks Power Plan</t>
  </si>
  <si>
    <t>Bitsum Highest Performance</t>
  </si>
  <si>
    <t>CactusOS Absolute Performance</t>
  </si>
  <si>
    <t>High performance</t>
  </si>
  <si>
    <t>Rosca Tweaks v2</t>
  </si>
  <si>
    <t>Ultimate Performance</t>
  </si>
  <si>
    <t>VTRL Optimized</t>
  </si>
  <si>
    <t>Sazinho Tweaks Latency Plan</t>
  </si>
  <si>
    <t>Xilly's Public PowerPlan</t>
  </si>
  <si>
    <t>imribiy 2026 Power Plan</t>
  </si>
  <si>
    <t>RevisionT Extreme Performance</t>
  </si>
  <si>
    <t>LLG-C_RT1F1_D-FOR-PARKING+E-CORES-FIX</t>
  </si>
  <si>
    <t>LLG-C?RT1F1?D-FOR-PARKING+E-CORES-FIX</t>
  </si>
  <si>
    <t>ARSENZA LOW LATENCY [ALL CPU]</t>
  </si>
  <si>
    <t>LLG-C_RT1F1_D-FOR-NON-K-CPUs</t>
  </si>
  <si>
    <t>LLG-C?RT1F1?D-FOR-NON-K-CPUs</t>
  </si>
  <si>
    <t>IIIEXOIII LOW LATENCY</t>
  </si>
  <si>
    <t>XNRL Pro Plan</t>
  </si>
  <si>
    <t>Iris</t>
  </si>
  <si>
    <t>Hybred Low Latency (HP</t>
  </si>
  <si>
    <t>GALA's ultimate performance(AMD</t>
  </si>
  <si>
    <t>Sapphire</t>
  </si>
  <si>
    <t>FPSHEAVEN2026</t>
  </si>
  <si>
    <t>Slower</t>
  </si>
  <si>
    <t>GPU Booster Power Plan</t>
  </si>
  <si>
    <t>Synez Power Plan</t>
  </si>
  <si>
    <t>Endgame Performance</t>
  </si>
  <si>
    <t>Khorvie's PowerPlan</t>
  </si>
  <si>
    <t>Jackpot2026</t>
  </si>
  <si>
    <t>Prodazin Power Plan</t>
  </si>
  <si>
    <t>ARSENZA LOW LATENCY (INTEL THREAD DIRECTOR FIX</t>
  </si>
  <si>
    <t>J o k r O S P o w e r P l a n</t>
  </si>
  <si>
    <t>Velo's Power Plan</t>
  </si>
  <si>
    <t>BEYOND PERFORMANCE AMD_INTEL V1</t>
  </si>
  <si>
    <t>BEYOND PERFORMANCE AMD/INTEL V1</t>
  </si>
  <si>
    <t>AutoOS</t>
  </si>
  <si>
    <t>Statistical Analysis - Per Power Plan (n = 3 repeated captures each)</t>
  </si>
  <si>
    <t>Live formulas from Sheet 3. Ranked by DPC p99 latency (lower = better). Delta% and Welch t-test are vs the best plan.</t>
  </si>
  <si>
    <t>Best plan (DPC p99)</t>
  </si>
  <si>
    <t>Worst plan</t>
  </si>
  <si>
    <t>Best-&gt;Worst spread</t>
  </si>
  <si>
    <t>Lowest interrupt load</t>
  </si>
  <si>
    <t>ANOVA (DPC p99)</t>
  </si>
  <si>
    <t>Kizzimo's Extreme Low Latency - 115 us</t>
  </si>
  <si>
    <t>AutoOS - 196 us</t>
  </si>
  <si>
    <t>81 us  (45%)</t>
  </si>
  <si>
    <t>F=24.3, p=4e-30 -&gt; differences real</t>
  </si>
  <si>
    <t>Rank</t>
  </si>
  <si>
    <t>Power Plan</t>
  </si>
  <si>
    <t>Type</t>
  </si>
  <si>
    <t>n</t>
  </si>
  <si>
    <t>DPC p99
mean (us)</t>
  </si>
  <si>
    <t>+/-SD</t>
  </si>
  <si>
    <t>DPC p999
mean</t>
  </si>
  <si>
    <t>DPC max
band</t>
  </si>
  <si>
    <t>ISR p99
mean</t>
  </si>
  <si>
    <t>Delta vs
best (us)</t>
  </si>
  <si>
    <t>Delta vs
best %</t>
  </si>
  <si>
    <t>Welch p
vs best</t>
  </si>
  <si>
    <t>Sig?
(p&lt;.05)</t>
  </si>
  <si>
    <t>Repeat-
ability</t>
  </si>
  <si>
    <t>community</t>
  </si>
  <si>
    <t>ref</t>
  </si>
  <si>
    <t>best</t>
  </si>
  <si>
    <t>- DPC p99 (us) = 99th-percentile Deferred Procedure Call latency: the worst-case DPC duration. The key responsiveness/stutter metric. LOWER = better.</t>
  </si>
  <si>
    <t>- DPC p999 = 99.9th percentile (deepest spikes). Here it is histogram-band-limited (~240-250 us for most), so it barely separates plans.</t>
  </si>
  <si>
    <t>- DPC/ISR %CPU busy = share of CPU time spent in DPCs/ISRs (interrupt overhead), warm-up-trimmed. LOWER = better.</t>
  </si>
  <si>
    <t>- Comb %CPU busy = DPC + ISR load combined - a single overhead summary.</t>
  </si>
  <si>
    <t>- 95% CI +/- = t-based interval on the mean (n=3, df=2, t=4.303); wide because only 3 runs.</t>
  </si>
  <si>
    <t>- Welch p vs best = unequal-variance t-test of this plan's 3 runs vs the best plan's. 'tie' = not separable from the best.</t>
  </si>
  <si>
    <t>- Repeatability from DPC p99 CV%: Excellent &lt;1, Good &lt;2, Fair &lt;4, Poor &gt;=4.</t>
  </si>
  <si>
    <t>- CPU eff MHz held ~2890 on every plan -&gt; no throttling; differences are DPC/ISR scheduling, not clocks.</t>
  </si>
  <si>
    <t>- Microsoft stock plans (High performance, Ultimate Performance) highlighted as references.</t>
  </si>
  <si>
    <t>Graphs</t>
  </si>
  <si>
    <t>Built live from Sheet 4. Plans ranked best-to-worst (lowest latency first). The plan NAME is on the axis next to each bar; the number is at the bar end. LOWER bars = better.</t>
  </si>
  <si>
    <t>Chart 1  -  DPC p99 latency by plan (us)</t>
  </si>
  <si>
    <t>Worst-case Deferred Procedure Call latency (99th percentile). The headline responsiveness metric - shorter bar = less micro-stutter/input-lag. Plan name on the left, exact microseconds at the bar end.</t>
  </si>
  <si>
    <t>(chart labels)</t>
  </si>
  <si>
    <t>Per-second DPC %busy (Run 1)</t>
  </si>
  <si>
    <t>Kizzimo's Extreme Low Latenc</t>
  </si>
  <si>
    <t>Sec</t>
  </si>
  <si>
    <t>CactusOS Absolute Performanc</t>
  </si>
  <si>
    <t>RevisionT Extreme Performanc</t>
  </si>
  <si>
    <t>LLG-C_RT1F1_D-FOR-PARKING+E-</t>
  </si>
  <si>
    <t>ARSENZA LOW LATENCY [ALL CPU</t>
  </si>
  <si>
    <t>GALA's ultimate performance(</t>
  </si>
  <si>
    <t>ARSENZA LOW LATENCY (INTEL T</t>
  </si>
  <si>
    <t>JokrOSPowerPlan</t>
  </si>
  <si>
    <t>BEYOND PERFORMANCE AMD_INTEL</t>
  </si>
  <si>
    <t>Chart 2  -  Combined interrupt load (% CPU busy)</t>
  </si>
  <si>
    <t>Total CPU time spent servicing ISRs + DPCs. Lower = less kernel overhead / more headroom. Note the winner on Chart 1 (Kizzimo) is high here - a trade-off worth seeing.</t>
  </si>
  <si>
    <t>Chart 3  -  Run-to-run variability of DPC p99 (CV %)</t>
  </si>
  <si>
    <t>How much each plan's DPC p99 bounced across the 3 repeats. Lower = more trustworthy. Tall bars (&gt;4%) mean the rank may be a fluke - re-test before trusting.</t>
  </si>
  <si>
    <t>Chart 4  -  Within-run DPC load over time (per-second %CPU, Run 1)</t>
  </si>
  <si>
    <t>DPC %CPU-busy each second for the best (Kizzimo), a balanced pick (amit's), Windows High Performance, and the worst (AutoOS). Flatter/lower = steadier, lighter DPC load.</t>
  </si>
  <si>
    <t>Verdicts - Analyst's Final Recommendation (latency)</t>
  </si>
  <si>
    <t>BEST for worst-case latency  -  Kizzimo's Extreme Low Latency</t>
  </si>
  <si>
    <t>The only plan whose 99th-percentile DPC drops into a lower band: ~115 us vs the field's ~180 us - a large, statistically significant (p&lt;0.05 vs every plan) and ultra-repeatable advantage (CV 0.08%). Trade-off: it also has the HIGHEST combined interrupt load (1.88% CPU). Best pick when worst-case DPC spikes (input-lag / micro-stutter) matter most.</t>
  </si>
  <si>
    <t>BEST balanced / safest  -  amit's low latency powerplan</t>
  </si>
  <si>
    <t>Lowest DPC p99 among the rock-solid plans (171.8 us, CV 0.8%) with low interrupt load (1.24%). The everyday low-latency choice if you want near-top latency without Kizzimo's overhead.</t>
  </si>
  <si>
    <t>LOWEST overhead  -  VTRL Optimized / ARSENZA [ALL CPU]</t>
  </si>
  <si>
    <t>If minimal interrupt load matters more than the last few microseconds of DPC p99, these sit at ~1.18-1.19% CPU busy with mid-pack p99.</t>
  </si>
  <si>
    <t>RE-TEST before trusting</t>
  </si>
  <si>
    <t>Lowest Latency, _Reticle_, Mitstas, RIP Tweaks, Sazinho look strong/mid but their DPC p99 varies 6-7% run-to-run - the rank may be a fluke. Re-run 3x cleanly first.</t>
  </si>
  <si>
    <t>REALITY CHECK</t>
  </si>
  <si>
    <t>Windows 'High performance' is already excellent (176 us, consistent, low overhead) - MOST community plans do NOT beat it. Every plan lands at DPC p99 = 115-196 us, well below the ~500 us+ range where DPC latency becomes perceptible: differences are real but all plans are in healthy territory. CPU stayed pinned at ~99% on all, so this is pure DPC/ISR scheduling.</t>
  </si>
  <si>
    <t>RECOMMENDATION</t>
  </si>
  <si>
    <t>For pure responsiveness run Kizzimo. For low latency + low overhead run amit's. Re-test the 5 noisy plans before judging. The rest offer no advantage over Windows stock and can be retired. Differences are real (ANOVA p~4e-30) and repeatable (median CV 0.9%).</t>
  </si>
  <si>
    <t>Delta % vs best</t>
  </si>
  <si>
    <t>Stat. tie
w/ best?</t>
  </si>
  <si>
    <t>Data summary</t>
  </si>
  <si>
    <t>VERDICT
(analyst)</t>
  </si>
  <si>
    <t>Analyst justification</t>
  </si>
  <si>
    <t>-</t>
  </si>
  <si>
    <t>Best DPC p99 in the field. Very stable (CV 0.1%).</t>
  </si>
  <si>
    <t>Keep</t>
  </si>
  <si>
    <t>WINNER (worst-case latency). Only plan with DPC p99 ~115 us (field ~180), significant vs all and ultra-stable (CV 0.08%). Caveat: highest interrupt load (1.88% CPU). Pick for lowest input-lag/stutter spikes.</t>
  </si>
  <si>
    <t>no</t>
  </si>
  <si>
    <t>+40% higher DPC p99 than best (real, p&lt;0.05). Noisy (CV 6.9%).</t>
  </si>
  <si>
    <t>Test again</t>
  </si>
  <si>
    <t>Looks 2nd-best (161 us) BUT highly variable (CV 6.9%) - could be a fluke. Re-run 3x before trusting.</t>
  </si>
  <si>
    <t>+45% higher DPC p99 than best (real, p&lt;0.05). Noisy (CV 6.3%).</t>
  </si>
  <si>
    <t>Looks 3rd-best (167 us) BUT variable (CV 6.3%). Re-test before trusting.</t>
  </si>
  <si>
    <t>+49% higher DPC p99 than best (real, p&lt;0.05). Very stable (CV 0.8%).</t>
  </si>
  <si>
    <t>BEST BALANCED. Lowest DPC p99 among the rock-solid plans (171.8 us, CV 0.8%) with low overhead (1.24%). Safest everyday low-latency choice.</t>
  </si>
  <si>
    <t>+50% higher DPC p99 than best (real, p&lt;0.05). Noisy (CV 6.4%).</t>
  </si>
  <si>
    <t>Mid (173 us) but noisy (CV 6.4%). Re-test.</t>
  </si>
  <si>
    <t>+51% higher DPC p99 than best (real, p&lt;0.05).</t>
  </si>
  <si>
    <t>Reject</t>
  </si>
  <si>
    <t>Good: DPC p99 173.8 us, low overhead; slightly noisier (CV 1.5%). Reasonable pick.</t>
  </si>
  <si>
    <t>+51% higher DPC p99 than best (real, p&lt;0.05). Noisy (CV 7.3%).</t>
  </si>
  <si>
    <t>Mid (174 us) but noisy (CV 7.3%). Re-test.</t>
  </si>
  <si>
    <t>+52% higher DPC p99 than best (real, p&lt;0.05).</t>
  </si>
  <si>
    <t>Reliably worse than best (+60 us, p&lt;0.05) and no better than Windows stock. No latency advantage - not worth using over the top picks. Absolute latency still healthy.</t>
  </si>
  <si>
    <t>+52% higher DPC p99 than best (real, p&lt;0.05). Very stable (CV 0.9%).</t>
  </si>
  <si>
    <t>Trustworthy: low DPC p99 (175 us), excellent consistency, low overhead (1.30%). Solid alternative.</t>
  </si>
  <si>
    <t>+53% higher DPC p99 than best (real, p&lt;0.05). Microsoft stock plan.</t>
  </si>
  <si>
    <t>Microsoft STOCK - and already very competitive (176 us, consistent, low overhead 1.31%). Most community plans do NOT beat it. Keep as the hard-to-beat baseline.</t>
  </si>
  <si>
    <t>+53% higher DPC p99 than best (real, p&lt;0.05). Very stable (CV 0.9%).</t>
  </si>
  <si>
    <t>Reliably worse than best (+61 us, p&lt;0.05) and no better than Windows stock. No latency advantage - not worth using over the top picks. Absolute latency still healthy.</t>
  </si>
  <si>
    <t>+54% higher DPC p99 than best (real, p&lt;0.05). Microsoft stock plan.</t>
  </si>
  <si>
    <t>Microsoft stock. Mid-pack (177.4 us) with slightly higher overhead than High performance; no latency advantage. Reference, not a pick.</t>
  </si>
  <si>
    <t>+54% higher DPC p99 than best (real, p&lt;0.05).</t>
  </si>
  <si>
    <t>Lowest-overhead tier (1.19% CPU) with mid DPC p99 (177.7 us). Choose for minimal interrupt load.</t>
  </si>
  <si>
    <t>+54% higher DPC p99 than best (real, p&lt;0.05). Noisy (CV 6.5%).</t>
  </si>
  <si>
    <t>Mid (178 us) but noisy (CV 6.5%). Re-test.</t>
  </si>
  <si>
    <t>+55% higher DPC p99 than best (real, p&lt;0.05). Very stable (CV 0.4%).</t>
  </si>
  <si>
    <t>Reliably worse than best (+64 us, p&lt;0.05) and no better than Windows stock. No latency advantage - not worth using over the top picks. Absolute latency still healthy.</t>
  </si>
  <si>
    <t>+56% higher DPC p99 than best (real, p&lt;0.05).</t>
  </si>
  <si>
    <t>Reliably worse than best (+65 us, p&lt;0.05) and no better than Windows stock. No latency advantage - not worth using over the top picks. Absolute latency still healthy.</t>
  </si>
  <si>
    <t>+57% higher DPC p99 than best (real, p&lt;0.05). Very stable (CV 0.2%).</t>
  </si>
  <si>
    <t>Reliably worse than best (+66 us, p&lt;0.05) and no better than Windows stock. No latency advantage - not worth using over the top picks. Absolute latency still healthy.</t>
  </si>
  <si>
    <t>+57% higher DPC p99 than best (real, p&lt;0.05). Very stable (CV 0.1%).</t>
  </si>
  <si>
    <t>+57% higher DPC p99 than best (real, p&lt;0.05). Very stable (CV 0.3%).</t>
  </si>
  <si>
    <t>+57% higher DPC p99 than best (real, p&lt;0.05). Very stable (CV 0.6%).</t>
  </si>
  <si>
    <t>+58% higher DPC p99 than best (real, p&lt;0.05). Very stable (CV 0.5%).</t>
  </si>
  <si>
    <t>Reliably worse than best (+67 us, p&lt;0.05) and no better than Windows stock. No latency advantage - not worth using over the top picks. Absolute latency still healthy.</t>
  </si>
  <si>
    <t>+58% higher DPC p99 than best (real, p&lt;0.05). Very stable (CV 0.6%).</t>
  </si>
  <si>
    <t>+59% higher DPC p99 than best (real, p&lt;0.05).</t>
  </si>
  <si>
    <t>Reliably worse than best (+68 us, p&lt;0.05) and no better than Windows stock. No latency advantage - not worth using over the top picks. Absolute latency still healthy.</t>
  </si>
  <si>
    <t>+59% higher DPC p99 than best (real, p&lt;0.05). Very stable (CV 0.1%).</t>
  </si>
  <si>
    <t>+59% higher DPC p99 than best (real, p&lt;0.05). Very stable (CV 0.5%).</t>
  </si>
  <si>
    <t>+60% higher DPC p99 than best (real, p&lt;0.05). Very stable (CV 0.3%).</t>
  </si>
  <si>
    <t>Reliably worse than best (+69 us, p&lt;0.05) and no better than Windows stock. No latency advantage - not worth using over the top picks. Absolute latency still healthy.</t>
  </si>
  <si>
    <t>+60% higher DPC p99 than best (real, p&lt;0.05). Very stable (CV 1.0%).</t>
  </si>
  <si>
    <t>+60% higher DPC p99 than best (real, p&lt;0.05). Very stable (CV 0.6%).</t>
  </si>
  <si>
    <t>+60% higher DPC p99 than best (real, p&lt;0.05). Very stable (CV 0.2%).</t>
  </si>
  <si>
    <t>Reliably worse than best (+70 us, p&lt;0.05) and no better than Windows stock. No latency advantage - not worth using over the top picks. Absolute latency still healthy.</t>
  </si>
  <si>
    <t>+62% higher DPC p99 than best (real, p&lt;0.05). Very stable (CV 0.3%).</t>
  </si>
  <si>
    <t>Reliably worse than best (+71 us, p&lt;0.05) and no better than Windows stock. No latency advantage - not worth using over the top picks. Absolute latency still healthy.</t>
  </si>
  <si>
    <t>+62% higher DPC p99 than best (real, p&lt;0.05).</t>
  </si>
  <si>
    <t>+62% higher DPC p99 than best (real, p&lt;0.05). Very stable (CV 0.2%).</t>
  </si>
  <si>
    <t>Reliably worse than best (+72 us, p&lt;0.05) and no better than Windows stock. No latency advantage - not worth using over the top picks. Absolute latency still healthy.</t>
  </si>
  <si>
    <t>+66% higher DPC p99 than best (real, p&lt;0.05).</t>
  </si>
  <si>
    <t>Near the bottom on DPC p99 (192 us, significant). Reject for latency.</t>
  </si>
  <si>
    <t>+69% higher DPC p99 than best (real, p&lt;0.05).</t>
  </si>
  <si>
    <t>Among the worst DPC p99 (195 us, significant). Reject for latency.</t>
  </si>
  <si>
    <t>+70% higher DPC p99 than best (real, p&lt;0.05). Very stable (CV 0.1%).</t>
  </si>
  <si>
    <t>Among the WORST DPC p99 (196 us, significant). Reject for latency.</t>
  </si>
  <si>
    <t>Analyst tally:   Keep = 5    Test again = 5    Reject = 29    (of 39 plans)</t>
  </si>
  <si>
    <t>VERDICT column is editable (dropdown). Colour: green=Keep, amber=Test again, red=Reject. 'Reject' = no latency advantage for this objective, not 'broken'.</t>
  </si>
  <si>
    <t>Custom in-house tool (Measure-Latency.ps1 v1.1.0), built by 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</si>
</sst>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32" x14ac:knownFonts="1">
    <font>
      <sz val="11"/>
      <color theme="1"/>
      <name val="Calibri"/>
      <family val="2"/>
      <charset val="1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b/>
      <sz val="10"/>
      <color rgb="FF1F3864"/>
      <name val="Calibri"/>
      <family val="2"/>
    </font>
    <font>
      <sz val="10"/>
      <color rgb="FF000000"/>
      <name val="Calibri"/>
      <family val="2"/>
    </font>
    <font>
      <sz val="9"/>
      <color rgb="FF404040"/>
      <name val="Calibri"/>
      <family val="2"/>
    </font>
    <font>
      <sz val="10"/>
      <color rgb="FF595959"/>
      <name val="Calibri"/>
      <family val="2"/>
    </font>
    <font>
      <b/>
      <sz val="10"/>
      <color rgb="FF000000"/>
      <name val="Calibri"/>
      <family val="2"/>
    </font>
    <font>
      <sz val="10"/>
      <color rgb="FF006100"/>
      <name val="Calibri"/>
      <family val="2"/>
    </font>
    <font>
      <b/>
      <sz val="10"/>
      <color rgb="FF006100"/>
      <name val="Calibri"/>
      <family val="2"/>
    </font>
    <font>
      <i/>
      <sz val="9"/>
      <color rgb="FF595959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</font>
    <font>
      <b/>
      <sz val="9"/>
      <color rgb="FF006100"/>
      <name val="Calibri"/>
      <family val="2"/>
    </font>
    <font>
      <b/>
      <sz val="9"/>
      <color rgb="FF9C0006"/>
      <name val="Calibri"/>
      <family val="2"/>
    </font>
    <font>
      <b/>
      <sz val="9"/>
      <color rgb="FF7F6000"/>
      <name val="Calibri"/>
      <family val="2"/>
    </font>
    <font>
      <b/>
      <sz val="9"/>
      <color rgb="FF1F3864"/>
      <name val="Calibri"/>
      <family val="2"/>
    </font>
    <font>
      <b/>
      <sz val="10"/>
      <color rgb="FF9C0006"/>
      <name val="Calibri"/>
      <family val="2"/>
    </font>
    <font>
      <b/>
      <sz val="10"/>
      <color rgb="FF7F6000"/>
      <name val="Calibri"/>
      <family val="2"/>
    </font>
    <font>
      <sz val="10"/>
      <color rgb="FF404040"/>
      <name val="Calibri"/>
      <family val="2"/>
    </font>
    <font>
      <sz val="10"/>
      <color rgb="FF7F6000"/>
      <name val="Calibri"/>
      <family val="2"/>
    </font>
    <font>
      <b/>
      <sz val="8"/>
      <color rgb="FF808080"/>
      <name val="Calibri"/>
      <family val="2"/>
    </font>
    <font>
      <b/>
      <sz val="8"/>
      <color rgb="FF000000"/>
      <name val="Calibri"/>
      <family val="2"/>
    </font>
    <font>
      <sz val="9"/>
      <color rgb="FF222222"/>
      <name val="Calibri"/>
      <family val="2"/>
    </font>
    <font>
      <b/>
      <sz val="10"/>
      <color rgb="FF9C6500"/>
      <name val="Calibri"/>
      <family val="2"/>
    </font>
    <font>
      <b/>
      <sz val="15"/>
      <color theme="7"/>
      <name val="Calibri"/>
      <family val="2"/>
    </font>
    <font>
      <b/>
      <sz val="10"/>
      <color theme="7"/>
      <name val="Calibri"/>
      <family val="2"/>
    </font>
    <font>
      <b/>
      <sz val="10"/>
      <color theme="0"/>
      <name val="Calibri"/>
      <family val="2"/>
    </font>
    <font>
      <b/>
      <sz val="8"/>
      <color theme="0"/>
      <name val="Calibri"/>
      <family val="2"/>
    </font>
    <font>
      <sz val="11"/>
      <color theme="7"/>
      <name val="Calibri"/>
      <family val="2"/>
    </font>
    <font>
      <b/>
      <sz val="12"/>
      <color theme="7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EDF1F9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DF1F9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D9D9D9"/>
      </patternFill>
    </fill>
    <fill>
      <patternFill patternType="solid">
        <fgColor rgb="FFD9E1F2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theme="6" tint="0.59999389629810485"/>
        <bgColor rgb="FFD9E1F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rgb="FF1F3864"/>
      </patternFill>
    </fill>
    <fill>
      <patternFill patternType="solid">
        <fgColor theme="7" tint="-0.249977111117893"/>
        <bgColor rgb="FF404040"/>
      </patternFill>
    </fill>
    <fill>
      <patternFill patternType="solid">
        <fgColor theme="7"/>
        <bgColor rgb="FF404040"/>
      </patternFill>
    </fill>
    <fill>
      <patternFill patternType="solid">
        <fgColor rgb="FF7030A0"/>
        <bgColor rgb="FFBFBFBF"/>
      </patternFill>
    </fill>
    <fill>
      <patternFill patternType="solid">
        <fgColor rgb="FF7030A0"/>
        <bgColor rgb="FF40404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1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indent="1"/>
    </xf>
    <xf numFmtId="0" fontId="5" fillId="0" borderId="1" xfId="0" applyFont="1" applyBorder="1" applyAlignment="1">
      <alignment vertical="center" wrapText="1" indent="1"/>
    </xf>
    <xf numFmtId="0" fontId="6" fillId="0" borderId="0" xfId="0" applyFont="1" applyAlignment="1">
      <alignment vertical="top" wrapText="1"/>
    </xf>
    <xf numFmtId="0" fontId="7" fillId="0" borderId="1" xfId="0" applyFont="1" applyBorder="1" applyAlignment="1">
      <alignment vertical="center" wrapText="1" indent="1"/>
    </xf>
    <xf numFmtId="0" fontId="8" fillId="0" borderId="1" xfId="0" applyFont="1" applyBorder="1" applyAlignment="1">
      <alignment vertical="center" wrapText="1" indent="1"/>
    </xf>
    <xf numFmtId="0" fontId="9" fillId="0" borderId="1" xfId="0" applyFont="1" applyBorder="1" applyAlignment="1">
      <alignment vertical="center" wrapText="1" indent="1"/>
    </xf>
    <xf numFmtId="0" fontId="10" fillId="0" borderId="1" xfId="0" applyFont="1" applyBorder="1" applyAlignment="1">
      <alignment vertical="center" wrapText="1" indent="1"/>
    </xf>
    <xf numFmtId="0" fontId="8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2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2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/>
    </xf>
    <xf numFmtId="165" fontId="5" fillId="5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0" fontId="22" fillId="0" borderId="0" xfId="0" applyFont="1"/>
    <xf numFmtId="0" fontId="13" fillId="0" borderId="0" xfId="0" applyFont="1"/>
    <xf numFmtId="0" fontId="23" fillId="0" borderId="0" xfId="0" applyFont="1"/>
    <xf numFmtId="165" fontId="8" fillId="3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26" fillId="0" borderId="0" xfId="0" applyFont="1"/>
    <xf numFmtId="0" fontId="27" fillId="0" borderId="0" xfId="0" applyFont="1" applyAlignment="1">
      <alignment vertical="top" wrapText="1"/>
    </xf>
    <xf numFmtId="0" fontId="12" fillId="14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28" fillId="16" borderId="1" xfId="0" applyFont="1" applyFill="1" applyBorder="1" applyAlignment="1">
      <alignment horizontal="center" vertical="center" wrapText="1"/>
    </xf>
    <xf numFmtId="0" fontId="29" fillId="16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30" fillId="0" borderId="0" xfId="0" applyFont="1"/>
    <xf numFmtId="0" fontId="2" fillId="13" borderId="0" xfId="0" applyFont="1" applyFill="1" applyAlignment="1">
      <alignment vertical="center" indent="1"/>
    </xf>
    <xf numFmtId="0" fontId="26" fillId="0" borderId="0" xfId="0" applyFont="1"/>
    <xf numFmtId="0" fontId="1" fillId="0" borderId="0" xfId="0" applyFont="1"/>
    <xf numFmtId="0" fontId="11" fillId="0" borderId="0" xfId="0" applyFont="1"/>
    <xf numFmtId="0" fontId="6" fillId="0" borderId="0" xfId="0" applyFont="1" applyAlignment="1">
      <alignment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31" fillId="0" borderId="0" xfId="0" applyFont="1"/>
    <xf numFmtId="0" fontId="4" fillId="11" borderId="1" xfId="0" applyFont="1" applyFill="1" applyBorder="1" applyAlignment="1">
      <alignment vertical="top" wrapText="1" indent="1"/>
    </xf>
    <xf numFmtId="0" fontId="24" fillId="12" borderId="1" xfId="0" applyFont="1" applyFill="1" applyBorder="1" applyAlignment="1">
      <alignment vertical="top" wrapText="1" indent="1"/>
    </xf>
    <xf numFmtId="0" fontId="4" fillId="0" borderId="0" xfId="0" applyFont="1"/>
    <xf numFmtId="0" fontId="4" fillId="9" borderId="1" xfId="0" applyFont="1" applyFill="1" applyBorder="1" applyAlignment="1">
      <alignment vertical="top" wrapText="1" indent="1"/>
    </xf>
    <xf numFmtId="0" fontId="24" fillId="0" borderId="1" xfId="0" applyFont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8EAADB"/>
      <rgbColor rgb="FFBE4B48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1F9"/>
      <rgbColor rgb="FFC6EFCE"/>
      <rgbColor rgb="FFFFEB9C"/>
      <rgbColor rgb="FFD9E1F2"/>
      <rgbColor rgb="FFF2F2F2"/>
      <rgbColor rgb="FFCC99FF"/>
      <rgbColor rgb="FFFFC7CE"/>
      <rgbColor rgb="FF4A7EBB"/>
      <rgbColor rgb="FF33CCCC"/>
      <rgbColor rgb="FF98B855"/>
      <rgbColor rgb="FFFFCC00"/>
      <rgbColor rgb="FFFF9900"/>
      <rgbColor rgb="FFFF6600"/>
      <rgbColor rgb="FF7D5FA0"/>
      <rgbColor rgb="FF878787"/>
      <rgbColor rgb="FF1F3864"/>
      <rgbColor rgb="FF4F81BD"/>
      <rgbColor rgb="FF003300"/>
      <rgbColor rgb="FF222222"/>
      <rgbColor rgb="FF9C6500"/>
      <rgbColor rgb="FF595959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DPC p99 Latency (us) by Plan - LOWER IS BETTER (n=3)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 Statistical Analysis'!$E$9</c:f>
              <c:strCache>
                <c:ptCount val="1"/>
                <c:pt idx="0">
                  <c:v>DPC p99
mean (us)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'5. Graphs'!$AB$8:$AB$46</c:f>
              <c:strCache>
                <c:ptCount val="39"/>
                <c:pt idx="0">
                  <c:v>Kizzimo's Extreme Low Latenc</c:v>
                </c:pt>
                <c:pt idx="1">
                  <c:v>Lowest Latency</c:v>
                </c:pt>
                <c:pt idx="2">
                  <c:v>_Reticle_</c:v>
                </c:pt>
                <c:pt idx="3">
                  <c:v>amit's low latency powerplan</c:v>
                </c:pt>
                <c:pt idx="4">
                  <c:v>Mitstas IDLE ENABLED</c:v>
                </c:pt>
                <c:pt idx="5">
                  <c:v>GTweaks Power Plan V3</c:v>
                </c:pt>
                <c:pt idx="6">
                  <c:v>RIP Tweaks Power Plan</c:v>
                </c:pt>
                <c:pt idx="7">
                  <c:v>Bitsum Highest Performance</c:v>
                </c:pt>
                <c:pt idx="8">
                  <c:v>CactusOS Absolute Performanc</c:v>
                </c:pt>
                <c:pt idx="9">
                  <c:v>High performance</c:v>
                </c:pt>
                <c:pt idx="10">
                  <c:v>Rosca Tweaks v2</c:v>
                </c:pt>
                <c:pt idx="11">
                  <c:v>Ultimate Performance</c:v>
                </c:pt>
                <c:pt idx="12">
                  <c:v>VTRL Optimized</c:v>
                </c:pt>
                <c:pt idx="13">
                  <c:v>Sazinho Tweaks Latency Plan</c:v>
                </c:pt>
                <c:pt idx="14">
                  <c:v>Xilly's Public PowerPlan</c:v>
                </c:pt>
                <c:pt idx="15">
                  <c:v>imribiy 2026 Power Plan</c:v>
                </c:pt>
                <c:pt idx="16">
                  <c:v>RevisionT Extreme Performanc</c:v>
                </c:pt>
                <c:pt idx="17">
                  <c:v>LLG-C_RT1F1_D-FOR-PARKING+E-</c:v>
                </c:pt>
                <c:pt idx="18">
                  <c:v>ARSENZA LOW LATENCY [ALL CPU</c:v>
                </c:pt>
                <c:pt idx="19">
                  <c:v>LLG-C_RT1F1_D-FOR-NON-K-CPUs</c:v>
                </c:pt>
                <c:pt idx="20">
                  <c:v>IIIEXOIII LOW LATENCY</c:v>
                </c:pt>
                <c:pt idx="21">
                  <c:v>XNRL Pro Plan</c:v>
                </c:pt>
                <c:pt idx="22">
                  <c:v>Iris</c:v>
                </c:pt>
                <c:pt idx="23">
                  <c:v>Hybred Low Latency (HP</c:v>
                </c:pt>
                <c:pt idx="24">
                  <c:v>GALA's ultimate performance(</c:v>
                </c:pt>
                <c:pt idx="25">
                  <c:v>Sapphire</c:v>
                </c:pt>
                <c:pt idx="26">
                  <c:v>FPSHEAVEN2026</c:v>
                </c:pt>
                <c:pt idx="27">
                  <c:v>Slower</c:v>
                </c:pt>
                <c:pt idx="28">
                  <c:v>GPU Booster Power Plan</c:v>
                </c:pt>
                <c:pt idx="29">
                  <c:v>Synez Power Plan</c:v>
                </c:pt>
                <c:pt idx="30">
                  <c:v>Endgame Performance</c:v>
                </c:pt>
                <c:pt idx="31">
                  <c:v>Khorvie's PowerPlan</c:v>
                </c:pt>
                <c:pt idx="32">
                  <c:v>Jackpot2026</c:v>
                </c:pt>
                <c:pt idx="33">
                  <c:v>Prodazin Power Plan</c:v>
                </c:pt>
                <c:pt idx="34">
                  <c:v>ARSENZA LOW LATENCY (INTEL T</c:v>
                </c:pt>
                <c:pt idx="35">
                  <c:v>JokrOSPowerPlan</c:v>
                </c:pt>
                <c:pt idx="36">
                  <c:v>Velo's Power Plan</c:v>
                </c:pt>
                <c:pt idx="37">
                  <c:v>BEYOND PERFORMANCE AMD_INTEL</c:v>
                </c:pt>
                <c:pt idx="38">
                  <c:v>AutoOS</c:v>
                </c:pt>
              </c:strCache>
            </c:strRef>
          </c:cat>
          <c:val>
            <c:numRef>
              <c:f>'4. Statistical Analysis'!$E$10:$E$48</c:f>
              <c:numCache>
                <c:formatCode>0.0</c:formatCode>
                <c:ptCount val="39"/>
                <c:pt idx="0">
                  <c:v>115.24666666666667</c:v>
                </c:pt>
                <c:pt idx="1">
                  <c:v>161.03333333333333</c:v>
                </c:pt>
                <c:pt idx="2">
                  <c:v>167.05333333333331</c:v>
                </c:pt>
                <c:pt idx="3">
                  <c:v>171.75</c:v>
                </c:pt>
                <c:pt idx="4">
                  <c:v>173.39333333333332</c:v>
                </c:pt>
                <c:pt idx="5">
                  <c:v>173.79999999999998</c:v>
                </c:pt>
                <c:pt idx="6">
                  <c:v>174.02666666666664</c:v>
                </c:pt>
                <c:pt idx="7">
                  <c:v>174.81333333333336</c:v>
                </c:pt>
                <c:pt idx="8">
                  <c:v>175.22666666666669</c:v>
                </c:pt>
                <c:pt idx="9">
                  <c:v>176.29666666666671</c:v>
                </c:pt>
                <c:pt idx="10">
                  <c:v>176.42</c:v>
                </c:pt>
                <c:pt idx="11">
                  <c:v>177.42</c:v>
                </c:pt>
                <c:pt idx="12">
                  <c:v>177.69666666666663</c:v>
                </c:pt>
                <c:pt idx="13">
                  <c:v>177.93333333333337</c:v>
                </c:pt>
                <c:pt idx="14">
                  <c:v>179.14666666666668</c:v>
                </c:pt>
                <c:pt idx="15">
                  <c:v>179.91</c:v>
                </c:pt>
                <c:pt idx="16">
                  <c:v>180.88666666666668</c:v>
                </c:pt>
                <c:pt idx="17">
                  <c:v>180.90333333333334</c:v>
                </c:pt>
                <c:pt idx="18">
                  <c:v>181</c:v>
                </c:pt>
                <c:pt idx="19">
                  <c:v>181.32333333333335</c:v>
                </c:pt>
                <c:pt idx="20">
                  <c:v>181.32666666666668</c:v>
                </c:pt>
                <c:pt idx="21">
                  <c:v>181.41666666666666</c:v>
                </c:pt>
                <c:pt idx="22">
                  <c:v>181.86333333333332</c:v>
                </c:pt>
                <c:pt idx="23">
                  <c:v>182.09</c:v>
                </c:pt>
                <c:pt idx="24">
                  <c:v>183.22</c:v>
                </c:pt>
                <c:pt idx="25">
                  <c:v>183.26666666666665</c:v>
                </c:pt>
                <c:pt idx="26">
                  <c:v>183.73333333333332</c:v>
                </c:pt>
                <c:pt idx="27">
                  <c:v>184.25</c:v>
                </c:pt>
                <c:pt idx="28">
                  <c:v>184.26666666666665</c:v>
                </c:pt>
                <c:pt idx="29">
                  <c:v>184.44666666666663</c:v>
                </c:pt>
                <c:pt idx="30">
                  <c:v>184.97000000000003</c:v>
                </c:pt>
                <c:pt idx="31">
                  <c:v>186.24666666666667</c:v>
                </c:pt>
                <c:pt idx="32">
                  <c:v>186.27666666666664</c:v>
                </c:pt>
                <c:pt idx="33">
                  <c:v>186.27666666666667</c:v>
                </c:pt>
                <c:pt idx="34">
                  <c:v>186.62</c:v>
                </c:pt>
                <c:pt idx="35">
                  <c:v>187.06666666666669</c:v>
                </c:pt>
                <c:pt idx="36">
                  <c:v>191.58</c:v>
                </c:pt>
                <c:pt idx="37">
                  <c:v>194.65333333333334</c:v>
                </c:pt>
                <c:pt idx="38">
                  <c:v>195.92666666666665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9-401E-9BAC-16C6DC6D7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97730"/>
        <c:axId val="9986480"/>
      </c:barChart>
      <c:catAx>
        <c:axId val="189773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DPC p99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480"/>
        <c:crosses val="autoZero"/>
        <c:auto val="1"/>
        <c:lblAlgn val="ctr"/>
        <c:lblOffset val="100"/>
        <c:noMultiLvlLbl val="0"/>
      </c:catAx>
      <c:valAx>
        <c:axId val="998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73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Combined ISR+DPC %CPU-busy by Plan - LOWER IS BETTER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 Statistical Analysis'!$O$9</c:f>
              <c:strCache>
                <c:ptCount val="1"/>
                <c:pt idx="0">
                  <c:v>Comb %CPU
busy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'5. Graphs'!$AB$8:$AB$46</c:f>
              <c:strCache>
                <c:ptCount val="39"/>
                <c:pt idx="0">
                  <c:v>Kizzimo's Extreme Low Latenc</c:v>
                </c:pt>
                <c:pt idx="1">
                  <c:v>Lowest Latency</c:v>
                </c:pt>
                <c:pt idx="2">
                  <c:v>_Reticle_</c:v>
                </c:pt>
                <c:pt idx="3">
                  <c:v>amit's low latency powerplan</c:v>
                </c:pt>
                <c:pt idx="4">
                  <c:v>Mitstas IDLE ENABLED</c:v>
                </c:pt>
                <c:pt idx="5">
                  <c:v>GTweaks Power Plan V3</c:v>
                </c:pt>
                <c:pt idx="6">
                  <c:v>RIP Tweaks Power Plan</c:v>
                </c:pt>
                <c:pt idx="7">
                  <c:v>Bitsum Highest Performance</c:v>
                </c:pt>
                <c:pt idx="8">
                  <c:v>CactusOS Absolute Performanc</c:v>
                </c:pt>
                <c:pt idx="9">
                  <c:v>High performance</c:v>
                </c:pt>
                <c:pt idx="10">
                  <c:v>Rosca Tweaks v2</c:v>
                </c:pt>
                <c:pt idx="11">
                  <c:v>Ultimate Performance</c:v>
                </c:pt>
                <c:pt idx="12">
                  <c:v>VTRL Optimized</c:v>
                </c:pt>
                <c:pt idx="13">
                  <c:v>Sazinho Tweaks Latency Plan</c:v>
                </c:pt>
                <c:pt idx="14">
                  <c:v>Xilly's Public PowerPlan</c:v>
                </c:pt>
                <c:pt idx="15">
                  <c:v>imribiy 2026 Power Plan</c:v>
                </c:pt>
                <c:pt idx="16">
                  <c:v>RevisionT Extreme Performanc</c:v>
                </c:pt>
                <c:pt idx="17">
                  <c:v>LLG-C_RT1F1_D-FOR-PARKING+E-</c:v>
                </c:pt>
                <c:pt idx="18">
                  <c:v>ARSENZA LOW LATENCY [ALL CPU</c:v>
                </c:pt>
                <c:pt idx="19">
                  <c:v>LLG-C_RT1F1_D-FOR-NON-K-CPUs</c:v>
                </c:pt>
                <c:pt idx="20">
                  <c:v>IIIEXOIII LOW LATENCY</c:v>
                </c:pt>
                <c:pt idx="21">
                  <c:v>XNRL Pro Plan</c:v>
                </c:pt>
                <c:pt idx="22">
                  <c:v>Iris</c:v>
                </c:pt>
                <c:pt idx="23">
                  <c:v>Hybred Low Latency (HP</c:v>
                </c:pt>
                <c:pt idx="24">
                  <c:v>GALA's ultimate performance(</c:v>
                </c:pt>
                <c:pt idx="25">
                  <c:v>Sapphire</c:v>
                </c:pt>
                <c:pt idx="26">
                  <c:v>FPSHEAVEN2026</c:v>
                </c:pt>
                <c:pt idx="27">
                  <c:v>Slower</c:v>
                </c:pt>
                <c:pt idx="28">
                  <c:v>GPU Booster Power Plan</c:v>
                </c:pt>
                <c:pt idx="29">
                  <c:v>Synez Power Plan</c:v>
                </c:pt>
                <c:pt idx="30">
                  <c:v>Endgame Performance</c:v>
                </c:pt>
                <c:pt idx="31">
                  <c:v>Khorvie's PowerPlan</c:v>
                </c:pt>
                <c:pt idx="32">
                  <c:v>Jackpot2026</c:v>
                </c:pt>
                <c:pt idx="33">
                  <c:v>Prodazin Power Plan</c:v>
                </c:pt>
                <c:pt idx="34">
                  <c:v>ARSENZA LOW LATENCY (INTEL T</c:v>
                </c:pt>
                <c:pt idx="35">
                  <c:v>JokrOSPowerPlan</c:v>
                </c:pt>
                <c:pt idx="36">
                  <c:v>Velo's Power Plan</c:v>
                </c:pt>
                <c:pt idx="37">
                  <c:v>BEYOND PERFORMANCE AMD_INTEL</c:v>
                </c:pt>
                <c:pt idx="38">
                  <c:v>AutoOS</c:v>
                </c:pt>
              </c:strCache>
            </c:strRef>
          </c:cat>
          <c:val>
            <c:numRef>
              <c:f>'4. Statistical Analysis'!$O$10:$O$48</c:f>
              <c:numCache>
                <c:formatCode>0.000</c:formatCode>
                <c:ptCount val="39"/>
                <c:pt idx="0">
                  <c:v>1.8786666666666667</c:v>
                </c:pt>
                <c:pt idx="1">
                  <c:v>1.3201187960687966</c:v>
                </c:pt>
                <c:pt idx="2">
                  <c:v>1.2700856902356901</c:v>
                </c:pt>
                <c:pt idx="3">
                  <c:v>1.2373101851851869</c:v>
                </c:pt>
                <c:pt idx="4">
                  <c:v>1.3217601851851832</c:v>
                </c:pt>
                <c:pt idx="5">
                  <c:v>1.3242693193193202</c:v>
                </c:pt>
                <c:pt idx="6">
                  <c:v>1.2881305555555567</c:v>
                </c:pt>
                <c:pt idx="7">
                  <c:v>1.3654268468468469</c:v>
                </c:pt>
                <c:pt idx="8">
                  <c:v>1.3040811811811801</c:v>
                </c:pt>
                <c:pt idx="9">
                  <c:v>1.3133410910910899</c:v>
                </c:pt>
                <c:pt idx="10">
                  <c:v>1.3358296296296299</c:v>
                </c:pt>
                <c:pt idx="11">
                  <c:v>1.3296951058201032</c:v>
                </c:pt>
                <c:pt idx="12">
                  <c:v>1.1855737237237267</c:v>
                </c:pt>
                <c:pt idx="13">
                  <c:v>1.2784407407407399</c:v>
                </c:pt>
                <c:pt idx="14">
                  <c:v>1.2914801994302001</c:v>
                </c:pt>
                <c:pt idx="15">
                  <c:v>1.2732361504361502</c:v>
                </c:pt>
                <c:pt idx="16">
                  <c:v>1.2876564814814799</c:v>
                </c:pt>
                <c:pt idx="17">
                  <c:v>1.2683917667667666</c:v>
                </c:pt>
                <c:pt idx="18">
                  <c:v>1.1759931145431135</c:v>
                </c:pt>
                <c:pt idx="19">
                  <c:v>1.26760402902903</c:v>
                </c:pt>
                <c:pt idx="20">
                  <c:v>1.2706757007006999</c:v>
                </c:pt>
                <c:pt idx="21">
                  <c:v>1.2829225509946436</c:v>
                </c:pt>
                <c:pt idx="22">
                  <c:v>1.2786055555555567</c:v>
                </c:pt>
                <c:pt idx="23">
                  <c:v>1.2811907407407401</c:v>
                </c:pt>
                <c:pt idx="24">
                  <c:v>1.2735453703703732</c:v>
                </c:pt>
                <c:pt idx="25">
                  <c:v>1.2773175925925901</c:v>
                </c:pt>
                <c:pt idx="26">
                  <c:v>1.2524872372372367</c:v>
                </c:pt>
                <c:pt idx="27">
                  <c:v>1.27328055555556</c:v>
                </c:pt>
                <c:pt idx="28">
                  <c:v>1.2549239131989167</c:v>
                </c:pt>
                <c:pt idx="29">
                  <c:v>1.2765953703703699</c:v>
                </c:pt>
                <c:pt idx="30">
                  <c:v>1.26117685185185</c:v>
                </c:pt>
                <c:pt idx="31">
                  <c:v>1.2434081188331201</c:v>
                </c:pt>
                <c:pt idx="32">
                  <c:v>1.2553451451451432</c:v>
                </c:pt>
                <c:pt idx="33">
                  <c:v>1.2624611111111099</c:v>
                </c:pt>
                <c:pt idx="34">
                  <c:v>1.1686402376060299</c:v>
                </c:pt>
                <c:pt idx="35">
                  <c:v>1.2575833333333335</c:v>
                </c:pt>
                <c:pt idx="36">
                  <c:v>1.1955252252252266</c:v>
                </c:pt>
                <c:pt idx="37">
                  <c:v>1.3025259259259234</c:v>
                </c:pt>
                <c:pt idx="38">
                  <c:v>1.2990509259259235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6-44DA-A018-3640E0D14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5164358"/>
        <c:axId val="80418501"/>
      </c:barChart>
      <c:catAx>
        <c:axId val="6516435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CPU busy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18501"/>
        <c:crosses val="autoZero"/>
        <c:auto val="1"/>
        <c:lblAlgn val="ctr"/>
        <c:lblOffset val="100"/>
        <c:noMultiLvlLbl val="0"/>
      </c:catAx>
      <c:valAx>
        <c:axId val="8041850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6435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DPC p99 run-to-run CV % - LOWER IS BETTER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 Statistical Analysis'!$G$9</c:f>
              <c:strCache>
                <c:ptCount val="1"/>
                <c:pt idx="0">
                  <c:v>CV %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'5. Graphs'!$AB$8:$AB$46</c:f>
              <c:strCache>
                <c:ptCount val="39"/>
                <c:pt idx="0">
                  <c:v>Kizzimo's Extreme Low Latenc</c:v>
                </c:pt>
                <c:pt idx="1">
                  <c:v>Lowest Latency</c:v>
                </c:pt>
                <c:pt idx="2">
                  <c:v>_Reticle_</c:v>
                </c:pt>
                <c:pt idx="3">
                  <c:v>amit's low latency powerplan</c:v>
                </c:pt>
                <c:pt idx="4">
                  <c:v>Mitstas IDLE ENABLED</c:v>
                </c:pt>
                <c:pt idx="5">
                  <c:v>GTweaks Power Plan V3</c:v>
                </c:pt>
                <c:pt idx="6">
                  <c:v>RIP Tweaks Power Plan</c:v>
                </c:pt>
                <c:pt idx="7">
                  <c:v>Bitsum Highest Performance</c:v>
                </c:pt>
                <c:pt idx="8">
                  <c:v>CactusOS Absolute Performanc</c:v>
                </c:pt>
                <c:pt idx="9">
                  <c:v>High performance</c:v>
                </c:pt>
                <c:pt idx="10">
                  <c:v>Rosca Tweaks v2</c:v>
                </c:pt>
                <c:pt idx="11">
                  <c:v>Ultimate Performance</c:v>
                </c:pt>
                <c:pt idx="12">
                  <c:v>VTRL Optimized</c:v>
                </c:pt>
                <c:pt idx="13">
                  <c:v>Sazinho Tweaks Latency Plan</c:v>
                </c:pt>
                <c:pt idx="14">
                  <c:v>Xilly's Public PowerPlan</c:v>
                </c:pt>
                <c:pt idx="15">
                  <c:v>imribiy 2026 Power Plan</c:v>
                </c:pt>
                <c:pt idx="16">
                  <c:v>RevisionT Extreme Performanc</c:v>
                </c:pt>
                <c:pt idx="17">
                  <c:v>LLG-C_RT1F1_D-FOR-PARKING+E-</c:v>
                </c:pt>
                <c:pt idx="18">
                  <c:v>ARSENZA LOW LATENCY [ALL CPU</c:v>
                </c:pt>
                <c:pt idx="19">
                  <c:v>LLG-C_RT1F1_D-FOR-NON-K-CPUs</c:v>
                </c:pt>
                <c:pt idx="20">
                  <c:v>IIIEXOIII LOW LATENCY</c:v>
                </c:pt>
                <c:pt idx="21">
                  <c:v>XNRL Pro Plan</c:v>
                </c:pt>
                <c:pt idx="22">
                  <c:v>Iris</c:v>
                </c:pt>
                <c:pt idx="23">
                  <c:v>Hybred Low Latency (HP</c:v>
                </c:pt>
                <c:pt idx="24">
                  <c:v>GALA's ultimate performance(</c:v>
                </c:pt>
                <c:pt idx="25">
                  <c:v>Sapphire</c:v>
                </c:pt>
                <c:pt idx="26">
                  <c:v>FPSHEAVEN2026</c:v>
                </c:pt>
                <c:pt idx="27">
                  <c:v>Slower</c:v>
                </c:pt>
                <c:pt idx="28">
                  <c:v>GPU Booster Power Plan</c:v>
                </c:pt>
                <c:pt idx="29">
                  <c:v>Synez Power Plan</c:v>
                </c:pt>
                <c:pt idx="30">
                  <c:v>Endgame Performance</c:v>
                </c:pt>
                <c:pt idx="31">
                  <c:v>Khorvie's PowerPlan</c:v>
                </c:pt>
                <c:pt idx="32">
                  <c:v>Jackpot2026</c:v>
                </c:pt>
                <c:pt idx="33">
                  <c:v>Prodazin Power Plan</c:v>
                </c:pt>
                <c:pt idx="34">
                  <c:v>ARSENZA LOW LATENCY (INTEL T</c:v>
                </c:pt>
                <c:pt idx="35">
                  <c:v>JokrOSPowerPlan</c:v>
                </c:pt>
                <c:pt idx="36">
                  <c:v>Velo's Power Plan</c:v>
                </c:pt>
                <c:pt idx="37">
                  <c:v>BEYOND PERFORMANCE AMD_INTEL</c:v>
                </c:pt>
                <c:pt idx="38">
                  <c:v>AutoOS</c:v>
                </c:pt>
              </c:strCache>
            </c:strRef>
          </c:cat>
          <c:val>
            <c:numRef>
              <c:f>'4. Statistical Analysis'!$G$10:$G$48</c:f>
              <c:numCache>
                <c:formatCode>0.00</c:formatCode>
                <c:ptCount val="39"/>
                <c:pt idx="0">
                  <c:v>8.3377886882624486E-2</c:v>
                </c:pt>
                <c:pt idx="1">
                  <c:v>6.8536597396692249</c:v>
                </c:pt>
                <c:pt idx="2">
                  <c:v>6.3312874609495893</c:v>
                </c:pt>
                <c:pt idx="3">
                  <c:v>0.8013599504281208</c:v>
                </c:pt>
                <c:pt idx="4">
                  <c:v>6.4332364666907047</c:v>
                </c:pt>
                <c:pt idx="5">
                  <c:v>1.4865040721665286</c:v>
                </c:pt>
                <c:pt idx="6">
                  <c:v>7.2519496231882332</c:v>
                </c:pt>
                <c:pt idx="7">
                  <c:v>1.0932726535126773</c:v>
                </c:pt>
                <c:pt idx="8">
                  <c:v>0.92170017778652491</c:v>
                </c:pt>
                <c:pt idx="9">
                  <c:v>1.0025998375382095</c:v>
                </c:pt>
                <c:pt idx="10">
                  <c:v>0.94945152925409904</c:v>
                </c:pt>
                <c:pt idx="11">
                  <c:v>1.7545330546316007</c:v>
                </c:pt>
                <c:pt idx="12">
                  <c:v>1.8339510855319632</c:v>
                </c:pt>
                <c:pt idx="13">
                  <c:v>6.4840952576311253</c:v>
                </c:pt>
                <c:pt idx="14">
                  <c:v>0.43569552242387732</c:v>
                </c:pt>
                <c:pt idx="15">
                  <c:v>1.0259457330604904</c:v>
                </c:pt>
                <c:pt idx="16">
                  <c:v>0.2149894786334349</c:v>
                </c:pt>
                <c:pt idx="17">
                  <c:v>6.0889652454748373E-2</c:v>
                </c:pt>
                <c:pt idx="18">
                  <c:v>0.34187245313602099</c:v>
                </c:pt>
                <c:pt idx="19">
                  <c:v>0.19825930475702327</c:v>
                </c:pt>
                <c:pt idx="20">
                  <c:v>0.24423844524052238</c:v>
                </c:pt>
                <c:pt idx="21">
                  <c:v>0.62936204066394941</c:v>
                </c:pt>
                <c:pt idx="22">
                  <c:v>0.50996191386143941</c:v>
                </c:pt>
                <c:pt idx="23">
                  <c:v>0.60701048254403145</c:v>
                </c:pt>
                <c:pt idx="24">
                  <c:v>1.2884736431418913</c:v>
                </c:pt>
                <c:pt idx="25">
                  <c:v>0.13936422520546271</c:v>
                </c:pt>
                <c:pt idx="26">
                  <c:v>0.54753193466151029</c:v>
                </c:pt>
                <c:pt idx="27">
                  <c:v>0.30754782233936828</c:v>
                </c:pt>
                <c:pt idx="28">
                  <c:v>0.99360521596035156</c:v>
                </c:pt>
                <c:pt idx="29">
                  <c:v>0.57801536489230809</c:v>
                </c:pt>
                <c:pt idx="30">
                  <c:v>0.19738483282184641</c:v>
                </c:pt>
                <c:pt idx="31">
                  <c:v>0.26305542903657692</c:v>
                </c:pt>
                <c:pt idx="32">
                  <c:v>1.4494602148233524</c:v>
                </c:pt>
                <c:pt idx="33">
                  <c:v>1.1527647106627537</c:v>
                </c:pt>
                <c:pt idx="34">
                  <c:v>1.5187493487080257</c:v>
                </c:pt>
                <c:pt idx="35">
                  <c:v>0.23674417220587579</c:v>
                </c:pt>
                <c:pt idx="36">
                  <c:v>1.6590190144198078</c:v>
                </c:pt>
                <c:pt idx="37">
                  <c:v>1.318138598392069</c:v>
                </c:pt>
                <c:pt idx="38">
                  <c:v>0.11021854664497438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F-4A7A-B4E7-DA739CF81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90024046"/>
        <c:axId val="15738255"/>
      </c:barChart>
      <c:catAx>
        <c:axId val="9002404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CV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8255"/>
        <c:crosses val="autoZero"/>
        <c:auto val="1"/>
        <c:lblAlgn val="ctr"/>
        <c:lblOffset val="100"/>
        <c:noMultiLvlLbl val="0"/>
      </c:catAx>
      <c:valAx>
        <c:axId val="1573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2404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Within-run DPC %CPU-busy per second, Run 1 - LOWER &amp; FLATTER IS BETTER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Graphs'!$AF$8</c:f>
              <c:strCache>
                <c:ptCount val="1"/>
                <c:pt idx="0">
                  <c:v>Kizzimo's Extreme Low Latenc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'5. Graphs'!$AE$9:$AE$48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'5. Graphs'!$AF$9:$AF$48</c:f>
              <c:numCache>
                <c:formatCode>General</c:formatCode>
                <c:ptCount val="40"/>
                <c:pt idx="0">
                  <c:v>1.488</c:v>
                </c:pt>
                <c:pt idx="1">
                  <c:v>1.5009999999999999</c:v>
                </c:pt>
                <c:pt idx="2">
                  <c:v>1.502</c:v>
                </c:pt>
                <c:pt idx="3">
                  <c:v>1.486</c:v>
                </c:pt>
                <c:pt idx="4">
                  <c:v>1.48</c:v>
                </c:pt>
                <c:pt idx="5">
                  <c:v>1.4950000000000001</c:v>
                </c:pt>
                <c:pt idx="6">
                  <c:v>1.5149999999999999</c:v>
                </c:pt>
                <c:pt idx="7">
                  <c:v>1.488</c:v>
                </c:pt>
                <c:pt idx="8">
                  <c:v>1.48</c:v>
                </c:pt>
                <c:pt idx="9">
                  <c:v>1.5029999999999999</c:v>
                </c:pt>
                <c:pt idx="10">
                  <c:v>1.4830000000000001</c:v>
                </c:pt>
                <c:pt idx="11">
                  <c:v>1.4950000000000001</c:v>
                </c:pt>
                <c:pt idx="12">
                  <c:v>1.4830000000000001</c:v>
                </c:pt>
                <c:pt idx="13">
                  <c:v>1.502</c:v>
                </c:pt>
                <c:pt idx="14">
                  <c:v>1.482</c:v>
                </c:pt>
                <c:pt idx="15">
                  <c:v>1.484</c:v>
                </c:pt>
                <c:pt idx="16">
                  <c:v>1.488</c:v>
                </c:pt>
                <c:pt idx="17">
                  <c:v>1.502</c:v>
                </c:pt>
                <c:pt idx="18">
                  <c:v>1.4950000000000001</c:v>
                </c:pt>
                <c:pt idx="19">
                  <c:v>1.5009999999999999</c:v>
                </c:pt>
                <c:pt idx="20">
                  <c:v>1.5</c:v>
                </c:pt>
                <c:pt idx="21">
                  <c:v>1.51</c:v>
                </c:pt>
                <c:pt idx="22">
                  <c:v>1.5149999999999999</c:v>
                </c:pt>
                <c:pt idx="23">
                  <c:v>1.4770000000000001</c:v>
                </c:pt>
                <c:pt idx="24">
                  <c:v>1.474</c:v>
                </c:pt>
                <c:pt idx="25">
                  <c:v>1.502</c:v>
                </c:pt>
                <c:pt idx="26">
                  <c:v>1.504</c:v>
                </c:pt>
                <c:pt idx="27">
                  <c:v>1.5029999999999999</c:v>
                </c:pt>
                <c:pt idx="28">
                  <c:v>1.466</c:v>
                </c:pt>
                <c:pt idx="29">
                  <c:v>1.496</c:v>
                </c:pt>
                <c:pt idx="30">
                  <c:v>1.5049999999999999</c:v>
                </c:pt>
                <c:pt idx="31">
                  <c:v>1.4950000000000001</c:v>
                </c:pt>
                <c:pt idx="32">
                  <c:v>1.5</c:v>
                </c:pt>
                <c:pt idx="33">
                  <c:v>1.5109999999999999</c:v>
                </c:pt>
                <c:pt idx="34">
                  <c:v>1.4930000000000001</c:v>
                </c:pt>
                <c:pt idx="35">
                  <c:v>1.5229999999999999</c:v>
                </c:pt>
                <c:pt idx="36">
                  <c:v>1.486</c:v>
                </c:pt>
                <c:pt idx="37">
                  <c:v>1.502</c:v>
                </c:pt>
                <c:pt idx="38">
                  <c:v>1.51</c:v>
                </c:pt>
                <c:pt idx="39">
                  <c:v>1.516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20-4DE9-915F-AF416CCCBEF7}"/>
            </c:ext>
          </c:extLst>
        </c:ser>
        <c:ser>
          <c:idx val="1"/>
          <c:order val="1"/>
          <c:tx>
            <c:strRef>
              <c:f>'5. Graphs'!$AG$8</c:f>
              <c:strCache>
                <c:ptCount val="1"/>
                <c:pt idx="0">
                  <c:v>amit's low latency powerplan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'5. Graphs'!$AE$9:$AE$48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'5. Graphs'!$AG$9:$AG$48</c:f>
              <c:numCache>
                <c:formatCode>General</c:formatCode>
                <c:ptCount val="40"/>
                <c:pt idx="0">
                  <c:v>0.83799999999999997</c:v>
                </c:pt>
                <c:pt idx="1">
                  <c:v>0.879</c:v>
                </c:pt>
                <c:pt idx="2">
                  <c:v>0.88600000000000001</c:v>
                </c:pt>
                <c:pt idx="3">
                  <c:v>0.88400000000000001</c:v>
                </c:pt>
                <c:pt idx="4">
                  <c:v>0.876</c:v>
                </c:pt>
                <c:pt idx="5">
                  <c:v>0.89500000000000002</c:v>
                </c:pt>
                <c:pt idx="6">
                  <c:v>0.89300000000000002</c:v>
                </c:pt>
                <c:pt idx="7">
                  <c:v>0.88</c:v>
                </c:pt>
                <c:pt idx="8">
                  <c:v>0.874</c:v>
                </c:pt>
                <c:pt idx="9">
                  <c:v>0.83799999999999997</c:v>
                </c:pt>
                <c:pt idx="10">
                  <c:v>0.83199999999999996</c:v>
                </c:pt>
                <c:pt idx="11">
                  <c:v>0.82299999999999995</c:v>
                </c:pt>
                <c:pt idx="12">
                  <c:v>0.83</c:v>
                </c:pt>
                <c:pt idx="13">
                  <c:v>0.83199999999999996</c:v>
                </c:pt>
                <c:pt idx="14">
                  <c:v>0.82899999999999996</c:v>
                </c:pt>
                <c:pt idx="15">
                  <c:v>0.82199999999999995</c:v>
                </c:pt>
                <c:pt idx="16">
                  <c:v>0.82699999999999996</c:v>
                </c:pt>
                <c:pt idx="17">
                  <c:v>0.82799999999999996</c:v>
                </c:pt>
                <c:pt idx="18">
                  <c:v>0.83</c:v>
                </c:pt>
                <c:pt idx="19">
                  <c:v>0.83399999999999996</c:v>
                </c:pt>
                <c:pt idx="20">
                  <c:v>0.83599999999999997</c:v>
                </c:pt>
                <c:pt idx="21">
                  <c:v>0.82899999999999996</c:v>
                </c:pt>
                <c:pt idx="22">
                  <c:v>0.84</c:v>
                </c:pt>
                <c:pt idx="23">
                  <c:v>0.84199999999999997</c:v>
                </c:pt>
                <c:pt idx="24">
                  <c:v>0.88900000000000001</c:v>
                </c:pt>
                <c:pt idx="25">
                  <c:v>0.86</c:v>
                </c:pt>
                <c:pt idx="26">
                  <c:v>0.85699999999999998</c:v>
                </c:pt>
                <c:pt idx="27">
                  <c:v>0.84699999999999998</c:v>
                </c:pt>
                <c:pt idx="28">
                  <c:v>0.84099999999999997</c:v>
                </c:pt>
                <c:pt idx="29">
                  <c:v>0.83599999999999997</c:v>
                </c:pt>
                <c:pt idx="30">
                  <c:v>0.84399999999999997</c:v>
                </c:pt>
                <c:pt idx="31">
                  <c:v>0.82799999999999996</c:v>
                </c:pt>
                <c:pt idx="32">
                  <c:v>0.83499999999999996</c:v>
                </c:pt>
                <c:pt idx="33">
                  <c:v>0.84199999999999997</c:v>
                </c:pt>
                <c:pt idx="34">
                  <c:v>0.83599999999999997</c:v>
                </c:pt>
                <c:pt idx="35">
                  <c:v>0.82499999999999996</c:v>
                </c:pt>
                <c:pt idx="36">
                  <c:v>0.83399999999999996</c:v>
                </c:pt>
                <c:pt idx="37">
                  <c:v>0.82099999999999995</c:v>
                </c:pt>
                <c:pt idx="38">
                  <c:v>0.84</c:v>
                </c:pt>
                <c:pt idx="39">
                  <c:v>0.83099999999999996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920-4DE9-915F-AF416CCCBEF7}"/>
            </c:ext>
          </c:extLst>
        </c:ser>
        <c:ser>
          <c:idx val="2"/>
          <c:order val="2"/>
          <c:tx>
            <c:strRef>
              <c:f>'5. Graphs'!$AH$8</c:f>
              <c:strCache>
                <c:ptCount val="1"/>
                <c:pt idx="0">
                  <c:v>High performance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'5. Graphs'!$AE$9:$AE$48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'5. Graphs'!$AH$9:$AH$48</c:f>
              <c:numCache>
                <c:formatCode>General</c:formatCode>
                <c:ptCount val="40"/>
                <c:pt idx="0">
                  <c:v>0.87</c:v>
                </c:pt>
                <c:pt idx="1">
                  <c:v>0.88500000000000001</c:v>
                </c:pt>
                <c:pt idx="2">
                  <c:v>0.89400000000000002</c:v>
                </c:pt>
                <c:pt idx="3">
                  <c:v>0.89600000000000002</c:v>
                </c:pt>
                <c:pt idx="4">
                  <c:v>0.88</c:v>
                </c:pt>
                <c:pt idx="5">
                  <c:v>0.89800000000000002</c:v>
                </c:pt>
                <c:pt idx="6">
                  <c:v>0.90400000000000003</c:v>
                </c:pt>
                <c:pt idx="7">
                  <c:v>0.58599999999999997</c:v>
                </c:pt>
                <c:pt idx="8">
                  <c:v>0.88600000000000001</c:v>
                </c:pt>
                <c:pt idx="9">
                  <c:v>0.90300000000000002</c:v>
                </c:pt>
                <c:pt idx="10">
                  <c:v>0.89300000000000002</c:v>
                </c:pt>
                <c:pt idx="11">
                  <c:v>0.89400000000000002</c:v>
                </c:pt>
                <c:pt idx="12">
                  <c:v>0.89100000000000001</c:v>
                </c:pt>
                <c:pt idx="13">
                  <c:v>0.89100000000000001</c:v>
                </c:pt>
                <c:pt idx="14">
                  <c:v>0.90400000000000003</c:v>
                </c:pt>
                <c:pt idx="15">
                  <c:v>0.89100000000000001</c:v>
                </c:pt>
                <c:pt idx="16">
                  <c:v>0.88300000000000001</c:v>
                </c:pt>
                <c:pt idx="17">
                  <c:v>0.89800000000000002</c:v>
                </c:pt>
                <c:pt idx="18">
                  <c:v>0.88500000000000001</c:v>
                </c:pt>
                <c:pt idx="19">
                  <c:v>0.89900000000000002</c:v>
                </c:pt>
                <c:pt idx="20">
                  <c:v>0.89400000000000002</c:v>
                </c:pt>
                <c:pt idx="21">
                  <c:v>0.89700000000000002</c:v>
                </c:pt>
                <c:pt idx="22">
                  <c:v>0.89300000000000002</c:v>
                </c:pt>
                <c:pt idx="23">
                  <c:v>0.89</c:v>
                </c:pt>
                <c:pt idx="24">
                  <c:v>0.86799999999999999</c:v>
                </c:pt>
                <c:pt idx="25">
                  <c:v>0.90700000000000003</c:v>
                </c:pt>
                <c:pt idx="26">
                  <c:v>0.89500000000000002</c:v>
                </c:pt>
                <c:pt idx="27">
                  <c:v>0.90100000000000002</c:v>
                </c:pt>
                <c:pt idx="28">
                  <c:v>0.89400000000000002</c:v>
                </c:pt>
                <c:pt idx="29">
                  <c:v>0.91100000000000003</c:v>
                </c:pt>
                <c:pt idx="30">
                  <c:v>0.91900000000000004</c:v>
                </c:pt>
                <c:pt idx="31">
                  <c:v>0.89100000000000001</c:v>
                </c:pt>
                <c:pt idx="32">
                  <c:v>0.9</c:v>
                </c:pt>
                <c:pt idx="33">
                  <c:v>0.88200000000000001</c:v>
                </c:pt>
                <c:pt idx="34">
                  <c:v>0.86499999999999999</c:v>
                </c:pt>
                <c:pt idx="35">
                  <c:v>0.90500000000000003</c:v>
                </c:pt>
                <c:pt idx="36">
                  <c:v>0.89</c:v>
                </c:pt>
                <c:pt idx="37">
                  <c:v>0.88500000000000001</c:v>
                </c:pt>
                <c:pt idx="38">
                  <c:v>0.89</c:v>
                </c:pt>
                <c:pt idx="39">
                  <c:v>0.89400000000000002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920-4DE9-915F-AF416CCCBEF7}"/>
            </c:ext>
          </c:extLst>
        </c:ser>
        <c:ser>
          <c:idx val="3"/>
          <c:order val="3"/>
          <c:tx>
            <c:strRef>
              <c:f>'5. Graphs'!$AI$8</c:f>
              <c:strCache>
                <c:ptCount val="1"/>
                <c:pt idx="0">
                  <c:v>AutoOS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'5. Graphs'!$AE$9:$AE$48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'5. Graphs'!$AI$9:$AI$48</c:f>
              <c:numCache>
                <c:formatCode>General</c:formatCode>
                <c:ptCount val="40"/>
                <c:pt idx="0">
                  <c:v>0.80300000000000005</c:v>
                </c:pt>
                <c:pt idx="1">
                  <c:v>0.84399999999999997</c:v>
                </c:pt>
                <c:pt idx="2">
                  <c:v>0.85299999999999998</c:v>
                </c:pt>
                <c:pt idx="3">
                  <c:v>0.84399999999999997</c:v>
                </c:pt>
                <c:pt idx="4">
                  <c:v>0.85399999999999998</c:v>
                </c:pt>
                <c:pt idx="5">
                  <c:v>0.93300000000000005</c:v>
                </c:pt>
                <c:pt idx="6">
                  <c:v>0.83699999999999997</c:v>
                </c:pt>
                <c:pt idx="7">
                  <c:v>0.86</c:v>
                </c:pt>
                <c:pt idx="8">
                  <c:v>0.84</c:v>
                </c:pt>
                <c:pt idx="9">
                  <c:v>0.86399999999999999</c:v>
                </c:pt>
                <c:pt idx="10">
                  <c:v>0.874</c:v>
                </c:pt>
                <c:pt idx="11">
                  <c:v>0.875</c:v>
                </c:pt>
                <c:pt idx="12">
                  <c:v>0.84599999999999997</c:v>
                </c:pt>
                <c:pt idx="13">
                  <c:v>0.85499999999999998</c:v>
                </c:pt>
                <c:pt idx="14">
                  <c:v>0.84299999999999997</c:v>
                </c:pt>
                <c:pt idx="15">
                  <c:v>0.85199999999999998</c:v>
                </c:pt>
                <c:pt idx="16">
                  <c:v>0.83699999999999997</c:v>
                </c:pt>
                <c:pt idx="17">
                  <c:v>0.84899999999999998</c:v>
                </c:pt>
                <c:pt idx="18">
                  <c:v>0.86399999999999999</c:v>
                </c:pt>
                <c:pt idx="19">
                  <c:v>0.85899999999999999</c:v>
                </c:pt>
                <c:pt idx="20">
                  <c:v>0.85099999999999998</c:v>
                </c:pt>
                <c:pt idx="21">
                  <c:v>0.85299999999999998</c:v>
                </c:pt>
                <c:pt idx="22">
                  <c:v>0.84</c:v>
                </c:pt>
                <c:pt idx="23">
                  <c:v>0.84699999999999998</c:v>
                </c:pt>
                <c:pt idx="24">
                  <c:v>0.84</c:v>
                </c:pt>
                <c:pt idx="25">
                  <c:v>0.85599999999999998</c:v>
                </c:pt>
                <c:pt idx="26">
                  <c:v>0.85699999999999998</c:v>
                </c:pt>
                <c:pt idx="27">
                  <c:v>0.86199999999999999</c:v>
                </c:pt>
                <c:pt idx="28">
                  <c:v>0.85299999999999998</c:v>
                </c:pt>
                <c:pt idx="29">
                  <c:v>0.84099999999999997</c:v>
                </c:pt>
                <c:pt idx="30">
                  <c:v>0.82599999999999996</c:v>
                </c:pt>
                <c:pt idx="31">
                  <c:v>0.85099999999999998</c:v>
                </c:pt>
                <c:pt idx="32">
                  <c:v>0.85499999999999998</c:v>
                </c:pt>
                <c:pt idx="33">
                  <c:v>0.84599999999999997</c:v>
                </c:pt>
                <c:pt idx="34">
                  <c:v>0.85</c:v>
                </c:pt>
                <c:pt idx="35">
                  <c:v>0.84699999999999998</c:v>
                </c:pt>
                <c:pt idx="36">
                  <c:v>0.82299999999999995</c:v>
                </c:pt>
                <c:pt idx="37">
                  <c:v>0.83099999999999996</c:v>
                </c:pt>
                <c:pt idx="38">
                  <c:v>0.84099999999999997</c:v>
                </c:pt>
                <c:pt idx="39">
                  <c:v>0.85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920-4DE9-915F-AF416CCCB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hiLowLines>
        <c:smooth val="0"/>
        <c:axId val="42349067"/>
        <c:axId val="81972591"/>
      </c:lineChart>
      <c:catAx>
        <c:axId val="423490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 into run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72591"/>
        <c:crosses val="autoZero"/>
        <c:auto val="1"/>
        <c:lblAlgn val="ctr"/>
        <c:lblOffset val="100"/>
        <c:noMultiLvlLbl val="0"/>
      </c:catAx>
      <c:valAx>
        <c:axId val="8197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CPU busy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90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13</xdr:col>
      <xdr:colOff>221760</xdr:colOff>
      <xdr:row>71</xdr:row>
      <xdr:rowOff>47880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82</xdr:row>
      <xdr:rowOff>0</xdr:rowOff>
    </xdr:from>
    <xdr:to>
      <xdr:col>13</xdr:col>
      <xdr:colOff>88410</xdr:colOff>
      <xdr:row>146</xdr:row>
      <xdr:rowOff>47520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BB427B-0E89-4644-80CA-A127FFD66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150</xdr:row>
      <xdr:rowOff>0</xdr:rowOff>
    </xdr:from>
    <xdr:to>
      <xdr:col>13</xdr:col>
      <xdr:colOff>88410</xdr:colOff>
      <xdr:row>214</xdr:row>
      <xdr:rowOff>47520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EE5275-8D9F-4BCE-928D-C01D93B34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220</xdr:row>
      <xdr:rowOff>0</xdr:rowOff>
    </xdr:from>
    <xdr:to>
      <xdr:col>16</xdr:col>
      <xdr:colOff>228600</xdr:colOff>
      <xdr:row>241</xdr:row>
      <xdr:rowOff>128880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7B0CC3-B439-45E3-AE1C-9F576DB37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3"/>
  <sheetViews>
    <sheetView showGridLines="0" tabSelected="1" zoomScaleNormal="100" workbookViewId="0">
      <selection activeCell="C41" sqref="C41"/>
    </sheetView>
  </sheetViews>
  <sheetFormatPr defaultColWidth="8.7109375" defaultRowHeight="15" x14ac:dyDescent="0.25"/>
  <cols>
    <col min="1" max="1" width="3" customWidth="1"/>
    <col min="2" max="2" width="34" customWidth="1"/>
    <col min="3" max="3" width="64" customWidth="1"/>
    <col min="4" max="4" width="3" customWidth="1"/>
    <col min="5" max="5" width="42" customWidth="1"/>
  </cols>
  <sheetData>
    <row r="2" spans="2:5" ht="19.5" x14ac:dyDescent="0.3">
      <c r="B2" s="73" t="s">
        <v>0</v>
      </c>
      <c r="C2" s="73"/>
    </row>
    <row r="3" spans="2:5" x14ac:dyDescent="0.25">
      <c r="B3" s="74" t="s">
        <v>1</v>
      </c>
      <c r="C3" s="74"/>
    </row>
    <row r="5" spans="2:5" ht="19.5" customHeight="1" x14ac:dyDescent="0.25">
      <c r="B5" s="72" t="s">
        <v>2</v>
      </c>
      <c r="C5" s="72"/>
      <c r="E5" s="2" t="s">
        <v>3</v>
      </c>
    </row>
    <row r="6" spans="2:5" x14ac:dyDescent="0.25">
      <c r="B6" s="3" t="s">
        <v>4</v>
      </c>
      <c r="C6" s="4" t="s">
        <v>5</v>
      </c>
      <c r="E6" s="65" t="s">
        <v>6</v>
      </c>
    </row>
    <row r="7" spans="2:5" ht="42" customHeight="1" x14ac:dyDescent="0.25">
      <c r="B7" s="3" t="s">
        <v>7</v>
      </c>
      <c r="C7" s="4" t="s">
        <v>8</v>
      </c>
      <c r="E7" s="5" t="s">
        <v>9</v>
      </c>
    </row>
    <row r="8" spans="2:5" x14ac:dyDescent="0.25">
      <c r="B8" s="3" t="s">
        <v>10</v>
      </c>
      <c r="C8" s="4" t="s">
        <v>11</v>
      </c>
    </row>
    <row r="9" spans="2:5" x14ac:dyDescent="0.25">
      <c r="E9" s="65" t="s">
        <v>12</v>
      </c>
    </row>
    <row r="10" spans="2:5" ht="42" customHeight="1" x14ac:dyDescent="0.25">
      <c r="B10" s="72" t="s">
        <v>13</v>
      </c>
      <c r="C10" s="72"/>
      <c r="E10" s="5" t="s">
        <v>14</v>
      </c>
    </row>
    <row r="11" spans="2:5" x14ac:dyDescent="0.25">
      <c r="B11" s="3" t="s">
        <v>15</v>
      </c>
      <c r="C11" s="4" t="s">
        <v>16</v>
      </c>
    </row>
    <row r="12" spans="2:5" ht="25.5" x14ac:dyDescent="0.25">
      <c r="B12" s="3" t="s">
        <v>17</v>
      </c>
      <c r="C12" s="4" t="s">
        <v>18</v>
      </c>
      <c r="E12" s="65" t="s">
        <v>19</v>
      </c>
    </row>
    <row r="13" spans="2:5" ht="42" customHeight="1" x14ac:dyDescent="0.25">
      <c r="B13" s="3" t="s">
        <v>20</v>
      </c>
      <c r="C13" s="6" t="s">
        <v>21</v>
      </c>
      <c r="E13" s="5" t="s">
        <v>22</v>
      </c>
    </row>
    <row r="15" spans="2:5" ht="19.5" customHeight="1" x14ac:dyDescent="0.25">
      <c r="B15" s="72" t="s">
        <v>23</v>
      </c>
      <c r="C15" s="72"/>
      <c r="E15" s="65" t="s">
        <v>24</v>
      </c>
    </row>
    <row r="16" spans="2:5" ht="42" customHeight="1" x14ac:dyDescent="0.25">
      <c r="B16" s="3" t="s">
        <v>25</v>
      </c>
      <c r="C16" s="4" t="s">
        <v>26</v>
      </c>
      <c r="E16" s="5" t="s">
        <v>27</v>
      </c>
    </row>
    <row r="18" spans="2:5" ht="19.5" customHeight="1" x14ac:dyDescent="0.25">
      <c r="B18" s="72" t="s">
        <v>28</v>
      </c>
      <c r="C18" s="72"/>
      <c r="E18" s="65" t="s">
        <v>29</v>
      </c>
    </row>
    <row r="19" spans="2:5" ht="42" customHeight="1" x14ac:dyDescent="0.25">
      <c r="B19" s="3" t="s">
        <v>30</v>
      </c>
      <c r="C19" s="4" t="s">
        <v>409</v>
      </c>
      <c r="E19" s="5" t="s">
        <v>31</v>
      </c>
    </row>
    <row r="20" spans="2:5" ht="25.5" x14ac:dyDescent="0.25">
      <c r="B20" s="3" t="s">
        <v>32</v>
      </c>
      <c r="C20" s="4" t="s">
        <v>33</v>
      </c>
    </row>
    <row r="21" spans="2:5" x14ac:dyDescent="0.25">
      <c r="B21" s="3" t="s">
        <v>34</v>
      </c>
      <c r="C21" s="7" t="s">
        <v>35</v>
      </c>
      <c r="E21" s="65" t="s">
        <v>36</v>
      </c>
    </row>
    <row r="22" spans="2:5" ht="42" customHeight="1" x14ac:dyDescent="0.25">
      <c r="B22" s="3" t="s">
        <v>37</v>
      </c>
      <c r="C22" s="7" t="s">
        <v>38</v>
      </c>
      <c r="E22" s="5" t="s">
        <v>39</v>
      </c>
    </row>
    <row r="23" spans="2:5" ht="38.25" x14ac:dyDescent="0.25">
      <c r="B23" s="3" t="s">
        <v>40</v>
      </c>
      <c r="C23" s="7" t="s">
        <v>41</v>
      </c>
    </row>
    <row r="24" spans="2:5" ht="25.5" x14ac:dyDescent="0.25">
      <c r="B24" s="3" t="s">
        <v>42</v>
      </c>
      <c r="C24" s="4" t="s">
        <v>43</v>
      </c>
    </row>
    <row r="25" spans="2:5" ht="25.5" x14ac:dyDescent="0.25">
      <c r="B25" s="3" t="s">
        <v>44</v>
      </c>
      <c r="C25" s="4" t="s">
        <v>45</v>
      </c>
    </row>
    <row r="27" spans="2:5" ht="19.5" customHeight="1" x14ac:dyDescent="0.25">
      <c r="B27" s="72" t="s">
        <v>46</v>
      </c>
      <c r="C27" s="72"/>
    </row>
    <row r="28" spans="2:5" x14ac:dyDescent="0.25">
      <c r="B28" s="3" t="s">
        <v>47</v>
      </c>
      <c r="C28" s="7" t="s">
        <v>48</v>
      </c>
    </row>
    <row r="29" spans="2:5" x14ac:dyDescent="0.25">
      <c r="B29" s="3" t="s">
        <v>49</v>
      </c>
      <c r="C29" s="8" t="s">
        <v>50</v>
      </c>
    </row>
    <row r="30" spans="2:5" ht="25.5" x14ac:dyDescent="0.25">
      <c r="B30" s="3" t="s">
        <v>51</v>
      </c>
      <c r="C30" s="7" t="s">
        <v>52</v>
      </c>
    </row>
    <row r="31" spans="2:5" ht="25.5" x14ac:dyDescent="0.25">
      <c r="B31" s="3" t="s">
        <v>53</v>
      </c>
      <c r="C31" s="4" t="s">
        <v>54</v>
      </c>
    </row>
    <row r="32" spans="2:5" ht="54" customHeight="1" x14ac:dyDescent="0.25">
      <c r="B32" s="3" t="s">
        <v>55</v>
      </c>
      <c r="C32" s="9" t="s">
        <v>56</v>
      </c>
    </row>
    <row r="33" spans="2:3" ht="25.5" x14ac:dyDescent="0.25">
      <c r="B33" s="3" t="s">
        <v>57</v>
      </c>
      <c r="C33" s="4" t="s">
        <v>58</v>
      </c>
    </row>
  </sheetData>
  <mergeCells count="7">
    <mergeCell ref="B18:C18"/>
    <mergeCell ref="B27:C27"/>
    <mergeCell ref="B2:C2"/>
    <mergeCell ref="B3:C3"/>
    <mergeCell ref="B5:C5"/>
    <mergeCell ref="B10:C10"/>
    <mergeCell ref="B15:C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3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21" sqref="C20:C21"/>
    </sheetView>
  </sheetViews>
  <sheetFormatPr defaultColWidth="8.7109375" defaultRowHeight="15" x14ac:dyDescent="0.25"/>
  <cols>
    <col min="1" max="1" width="2" customWidth="1"/>
    <col min="2" max="2" width="28" customWidth="1"/>
    <col min="3" max="3" width="78" customWidth="1"/>
    <col min="4" max="4" width="13" customWidth="1"/>
    <col min="5" max="5" width="22" customWidth="1"/>
  </cols>
  <sheetData>
    <row r="2" spans="2:6" ht="19.5" x14ac:dyDescent="0.3">
      <c r="B2" s="73" t="s">
        <v>59</v>
      </c>
      <c r="C2" s="73"/>
      <c r="D2" s="73"/>
      <c r="E2" s="73"/>
      <c r="F2" s="73"/>
    </row>
    <row r="3" spans="2:6" x14ac:dyDescent="0.25">
      <c r="B3" s="75" t="s">
        <v>60</v>
      </c>
      <c r="C3" s="75"/>
      <c r="D3" s="75"/>
      <c r="E3" s="75"/>
      <c r="F3" s="75"/>
    </row>
    <row r="5" spans="2:6" ht="18" customHeight="1" x14ac:dyDescent="0.25">
      <c r="B5" s="72" t="s">
        <v>61</v>
      </c>
      <c r="C5" s="72"/>
      <c r="D5" s="72"/>
      <c r="E5" s="72"/>
    </row>
    <row r="6" spans="2:6" ht="19.5" customHeight="1" x14ac:dyDescent="0.25">
      <c r="B6" s="66" t="s">
        <v>62</v>
      </c>
      <c r="C6" s="66" t="s">
        <v>63</v>
      </c>
      <c r="D6" s="66" t="s">
        <v>64</v>
      </c>
      <c r="E6" s="66" t="s">
        <v>65</v>
      </c>
    </row>
    <row r="7" spans="2:6" ht="31.5" customHeight="1" x14ac:dyDescent="0.25">
      <c r="B7" s="10" t="s">
        <v>66</v>
      </c>
      <c r="C7" s="11" t="s">
        <v>67</v>
      </c>
      <c r="D7" s="12" t="s">
        <v>68</v>
      </c>
      <c r="E7" s="11" t="s">
        <v>69</v>
      </c>
    </row>
    <row r="8" spans="2:6" ht="31.5" customHeight="1" x14ac:dyDescent="0.25">
      <c r="B8" s="13" t="s">
        <v>70</v>
      </c>
      <c r="C8" s="14" t="s">
        <v>71</v>
      </c>
      <c r="D8" s="15" t="s">
        <v>68</v>
      </c>
      <c r="E8" s="14" t="s">
        <v>72</v>
      </c>
    </row>
    <row r="9" spans="2:6" ht="31.5" customHeight="1" x14ac:dyDescent="0.25">
      <c r="B9" s="10" t="s">
        <v>73</v>
      </c>
      <c r="C9" s="11" t="s">
        <v>74</v>
      </c>
      <c r="D9" s="12" t="s">
        <v>68</v>
      </c>
      <c r="E9" s="11" t="s">
        <v>75</v>
      </c>
    </row>
    <row r="10" spans="2:6" ht="31.5" customHeight="1" x14ac:dyDescent="0.25">
      <c r="B10" s="13" t="s">
        <v>76</v>
      </c>
      <c r="C10" s="14" t="s">
        <v>77</v>
      </c>
      <c r="D10" s="15" t="s">
        <v>68</v>
      </c>
      <c r="E10" s="14" t="s">
        <v>78</v>
      </c>
    </row>
    <row r="11" spans="2:6" ht="31.5" customHeight="1" x14ac:dyDescent="0.25">
      <c r="B11" s="10" t="s">
        <v>79</v>
      </c>
      <c r="C11" s="11" t="s">
        <v>80</v>
      </c>
      <c r="D11" s="12" t="s">
        <v>68</v>
      </c>
      <c r="E11" s="11" t="s">
        <v>81</v>
      </c>
    </row>
    <row r="12" spans="2:6" ht="31.5" customHeight="1" x14ac:dyDescent="0.25">
      <c r="B12" s="13" t="s">
        <v>82</v>
      </c>
      <c r="C12" s="14" t="s">
        <v>83</v>
      </c>
      <c r="D12" s="15" t="s">
        <v>68</v>
      </c>
      <c r="E12" s="14" t="s">
        <v>84</v>
      </c>
    </row>
    <row r="13" spans="2:6" ht="31.5" customHeight="1" x14ac:dyDescent="0.25">
      <c r="B13" s="10" t="s">
        <v>85</v>
      </c>
      <c r="C13" s="11" t="s">
        <v>86</v>
      </c>
      <c r="D13" s="12" t="s">
        <v>68</v>
      </c>
      <c r="E13" s="11" t="s">
        <v>87</v>
      </c>
    </row>
    <row r="14" spans="2:6" ht="31.5" customHeight="1" x14ac:dyDescent="0.25">
      <c r="B14" s="13" t="s">
        <v>88</v>
      </c>
      <c r="C14" s="14" t="s">
        <v>89</v>
      </c>
      <c r="D14" s="15" t="s">
        <v>68</v>
      </c>
      <c r="E14" s="14" t="s">
        <v>90</v>
      </c>
    </row>
    <row r="15" spans="2:6" ht="31.5" customHeight="1" x14ac:dyDescent="0.25">
      <c r="B15" s="10" t="s">
        <v>91</v>
      </c>
      <c r="C15" s="11" t="s">
        <v>92</v>
      </c>
      <c r="D15" s="12" t="s">
        <v>68</v>
      </c>
      <c r="E15" s="11" t="s">
        <v>93</v>
      </c>
    </row>
    <row r="16" spans="2:6" ht="31.5" customHeight="1" x14ac:dyDescent="0.25">
      <c r="B16" s="13" t="s">
        <v>94</v>
      </c>
      <c r="C16" s="14" t="s">
        <v>95</v>
      </c>
      <c r="D16" s="15" t="s">
        <v>68</v>
      </c>
      <c r="E16" s="14" t="s">
        <v>96</v>
      </c>
    </row>
    <row r="18" spans="2:5" ht="18" customHeight="1" x14ac:dyDescent="0.25">
      <c r="B18" s="72" t="s">
        <v>97</v>
      </c>
      <c r="C18" s="72"/>
      <c r="D18" s="72"/>
      <c r="E18" s="72"/>
    </row>
    <row r="19" spans="2:5" ht="19.5" customHeight="1" x14ac:dyDescent="0.25">
      <c r="B19" s="66" t="s">
        <v>62</v>
      </c>
      <c r="C19" s="66" t="s">
        <v>63</v>
      </c>
      <c r="D19" s="66" t="s">
        <v>64</v>
      </c>
      <c r="E19" s="66" t="s">
        <v>65</v>
      </c>
    </row>
    <row r="20" spans="2:5" ht="31.5" customHeight="1" x14ac:dyDescent="0.25">
      <c r="B20" s="10" t="s">
        <v>98</v>
      </c>
      <c r="C20" s="11" t="s">
        <v>99</v>
      </c>
      <c r="D20" s="12" t="s">
        <v>100</v>
      </c>
      <c r="E20" s="11" t="s">
        <v>101</v>
      </c>
    </row>
    <row r="21" spans="2:5" ht="31.5" customHeight="1" x14ac:dyDescent="0.25">
      <c r="B21" s="13" t="s">
        <v>102</v>
      </c>
      <c r="C21" s="14" t="s">
        <v>103</v>
      </c>
      <c r="D21" s="15" t="s">
        <v>100</v>
      </c>
      <c r="E21" s="14" t="s">
        <v>104</v>
      </c>
    </row>
    <row r="22" spans="2:5" ht="31.5" customHeight="1" x14ac:dyDescent="0.25">
      <c r="B22" s="10" t="s">
        <v>105</v>
      </c>
      <c r="C22" s="11" t="s">
        <v>106</v>
      </c>
      <c r="D22" s="12" t="s">
        <v>107</v>
      </c>
      <c r="E22" s="11" t="s">
        <v>108</v>
      </c>
    </row>
    <row r="23" spans="2:5" ht="31.5" customHeight="1" x14ac:dyDescent="0.25">
      <c r="B23" s="13" t="s">
        <v>40</v>
      </c>
      <c r="C23" s="14" t="s">
        <v>109</v>
      </c>
      <c r="D23" s="15" t="s">
        <v>100</v>
      </c>
      <c r="E23" s="14" t="s">
        <v>110</v>
      </c>
    </row>
    <row r="24" spans="2:5" ht="31.5" customHeight="1" x14ac:dyDescent="0.25">
      <c r="B24" s="10" t="s">
        <v>111</v>
      </c>
      <c r="C24" s="11" t="s">
        <v>112</v>
      </c>
      <c r="D24" s="12" t="s">
        <v>113</v>
      </c>
      <c r="E24" s="11" t="s">
        <v>114</v>
      </c>
    </row>
    <row r="25" spans="2:5" ht="31.5" customHeight="1" x14ac:dyDescent="0.25">
      <c r="B25" s="13" t="s">
        <v>115</v>
      </c>
      <c r="C25" s="14" t="s">
        <v>116</v>
      </c>
      <c r="D25" s="15" t="s">
        <v>117</v>
      </c>
      <c r="E25" s="14" t="s">
        <v>118</v>
      </c>
    </row>
    <row r="27" spans="2:5" ht="18" customHeight="1" x14ac:dyDescent="0.25">
      <c r="B27" s="72" t="s">
        <v>119</v>
      </c>
      <c r="C27" s="72"/>
      <c r="D27" s="72"/>
      <c r="E27" s="72"/>
    </row>
    <row r="28" spans="2:5" ht="19.5" customHeight="1" x14ac:dyDescent="0.25">
      <c r="B28" s="66" t="s">
        <v>62</v>
      </c>
      <c r="C28" s="66" t="s">
        <v>63</v>
      </c>
      <c r="D28" s="66" t="s">
        <v>64</v>
      </c>
      <c r="E28" s="66" t="s">
        <v>65</v>
      </c>
    </row>
    <row r="29" spans="2:5" ht="31.5" customHeight="1" x14ac:dyDescent="0.25">
      <c r="B29" s="10" t="s">
        <v>120</v>
      </c>
      <c r="C29" s="11" t="s">
        <v>121</v>
      </c>
      <c r="D29" s="12" t="s">
        <v>100</v>
      </c>
      <c r="E29" s="11" t="s">
        <v>122</v>
      </c>
    </row>
    <row r="30" spans="2:5" ht="31.5" customHeight="1" x14ac:dyDescent="0.25">
      <c r="B30" s="13" t="s">
        <v>123</v>
      </c>
      <c r="C30" s="14" t="s">
        <v>124</v>
      </c>
      <c r="D30" s="15" t="s">
        <v>68</v>
      </c>
      <c r="E30" s="14" t="s">
        <v>125</v>
      </c>
    </row>
    <row r="31" spans="2:5" ht="31.5" customHeight="1" x14ac:dyDescent="0.25">
      <c r="B31" s="10" t="s">
        <v>126</v>
      </c>
      <c r="C31" s="11" t="s">
        <v>127</v>
      </c>
      <c r="D31" s="12" t="s">
        <v>68</v>
      </c>
      <c r="E31" s="11" t="s">
        <v>128</v>
      </c>
    </row>
    <row r="32" spans="2:5" ht="31.5" customHeight="1" x14ac:dyDescent="0.25">
      <c r="B32" s="13" t="s">
        <v>129</v>
      </c>
      <c r="C32" s="14" t="s">
        <v>130</v>
      </c>
      <c r="D32" s="15" t="s">
        <v>131</v>
      </c>
      <c r="E32" s="14" t="s">
        <v>132</v>
      </c>
    </row>
    <row r="33" spans="2:5" ht="31.5" customHeight="1" x14ac:dyDescent="0.25">
      <c r="B33" s="10" t="s">
        <v>133</v>
      </c>
      <c r="C33" s="11" t="s">
        <v>134</v>
      </c>
      <c r="D33" s="12" t="s">
        <v>135</v>
      </c>
      <c r="E33" s="11" t="s">
        <v>136</v>
      </c>
    </row>
    <row r="34" spans="2:5" ht="31.5" customHeight="1" x14ac:dyDescent="0.25">
      <c r="B34" s="13" t="s">
        <v>137</v>
      </c>
      <c r="C34" s="14" t="s">
        <v>138</v>
      </c>
      <c r="D34" s="15" t="s">
        <v>100</v>
      </c>
      <c r="E34" s="14" t="s">
        <v>139</v>
      </c>
    </row>
    <row r="35" spans="2:5" ht="31.5" customHeight="1" x14ac:dyDescent="0.25">
      <c r="B35" s="10" t="s">
        <v>140</v>
      </c>
      <c r="C35" s="11" t="s">
        <v>141</v>
      </c>
      <c r="D35" s="12" t="s">
        <v>142</v>
      </c>
      <c r="E35" s="11" t="s">
        <v>143</v>
      </c>
    </row>
    <row r="36" spans="2:5" ht="31.5" customHeight="1" x14ac:dyDescent="0.25">
      <c r="B36" s="13" t="s">
        <v>144</v>
      </c>
      <c r="C36" s="14" t="s">
        <v>145</v>
      </c>
      <c r="D36" s="15" t="s">
        <v>146</v>
      </c>
      <c r="E36" s="14" t="s">
        <v>147</v>
      </c>
    </row>
    <row r="37" spans="2:5" ht="31.5" customHeight="1" x14ac:dyDescent="0.25">
      <c r="B37" s="10" t="s">
        <v>148</v>
      </c>
      <c r="C37" s="11" t="s">
        <v>149</v>
      </c>
      <c r="D37" s="12" t="s">
        <v>100</v>
      </c>
      <c r="E37" s="11" t="s">
        <v>150</v>
      </c>
    </row>
    <row r="38" spans="2:5" ht="31.5" customHeight="1" x14ac:dyDescent="0.25">
      <c r="B38" s="13" t="s">
        <v>151</v>
      </c>
      <c r="C38" s="14" t="s">
        <v>152</v>
      </c>
      <c r="D38" s="15" t="s">
        <v>100</v>
      </c>
      <c r="E38" s="14" t="s">
        <v>153</v>
      </c>
    </row>
  </sheetData>
  <mergeCells count="5">
    <mergeCell ref="B2:F2"/>
    <mergeCell ref="B3:F3"/>
    <mergeCell ref="B5:E5"/>
    <mergeCell ref="B18:E18"/>
    <mergeCell ref="B27:E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118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12" sqref="J12"/>
    </sheetView>
  </sheetViews>
  <sheetFormatPr defaultColWidth="8.7109375" defaultRowHeight="15" x14ac:dyDescent="0.25"/>
  <cols>
    <col min="1" max="1" width="28" customWidth="1"/>
    <col min="2" max="2" width="5" customWidth="1"/>
    <col min="3" max="3" width="50.140625" customWidth="1"/>
    <col min="4" max="5" width="7" customWidth="1"/>
    <col min="6" max="8" width="8" customWidth="1"/>
    <col min="9" max="9" width="15.7109375" customWidth="1"/>
    <col min="10" max="10" width="9" customWidth="1"/>
    <col min="11" max="11" width="8" customWidth="1"/>
    <col min="12" max="13" width="9" customWidth="1"/>
    <col min="14" max="17" width="8" customWidth="1"/>
    <col min="18" max="18" width="9" customWidth="1"/>
    <col min="19" max="19" width="15" customWidth="1"/>
    <col min="20" max="22" width="8" customWidth="1"/>
    <col min="23" max="23" width="27" customWidth="1"/>
    <col min="24" max="68" width="4.42578125" customWidth="1"/>
  </cols>
  <sheetData>
    <row r="1" spans="1:68" ht="30" customHeight="1" x14ac:dyDescent="0.25">
      <c r="A1" s="67" t="s">
        <v>154</v>
      </c>
      <c r="B1" s="67" t="s">
        <v>98</v>
      </c>
      <c r="C1" s="67" t="s">
        <v>155</v>
      </c>
      <c r="D1" s="67" t="s">
        <v>156</v>
      </c>
      <c r="E1" s="67" t="s">
        <v>157</v>
      </c>
      <c r="F1" s="67" t="s">
        <v>158</v>
      </c>
      <c r="G1" s="67" t="s">
        <v>159</v>
      </c>
      <c r="H1" s="67" t="s">
        <v>160</v>
      </c>
      <c r="I1" s="67" t="s">
        <v>161</v>
      </c>
      <c r="J1" s="67" t="s">
        <v>162</v>
      </c>
      <c r="K1" s="67" t="s">
        <v>163</v>
      </c>
      <c r="L1" s="67" t="s">
        <v>164</v>
      </c>
      <c r="M1" s="67" t="s">
        <v>165</v>
      </c>
      <c r="N1" s="67" t="s">
        <v>166</v>
      </c>
      <c r="O1" s="67" t="s">
        <v>167</v>
      </c>
      <c r="P1" s="67" t="s">
        <v>168</v>
      </c>
      <c r="Q1" s="67" t="s">
        <v>169</v>
      </c>
      <c r="R1" s="67" t="s">
        <v>170</v>
      </c>
      <c r="S1" s="67" t="s">
        <v>171</v>
      </c>
      <c r="T1" s="67" t="s">
        <v>172</v>
      </c>
      <c r="U1" s="67" t="s">
        <v>173</v>
      </c>
      <c r="V1" s="67" t="s">
        <v>174</v>
      </c>
      <c r="W1" s="68" t="s">
        <v>175</v>
      </c>
      <c r="X1" s="69" t="s">
        <v>176</v>
      </c>
      <c r="Y1" s="69" t="s">
        <v>177</v>
      </c>
      <c r="Z1" s="69" t="s">
        <v>178</v>
      </c>
      <c r="AA1" s="69" t="s">
        <v>179</v>
      </c>
      <c r="AB1" s="69" t="s">
        <v>180</v>
      </c>
      <c r="AC1" s="69" t="s">
        <v>181</v>
      </c>
      <c r="AD1" s="69" t="s">
        <v>182</v>
      </c>
      <c r="AE1" s="69" t="s">
        <v>183</v>
      </c>
      <c r="AF1" s="69" t="s">
        <v>184</v>
      </c>
      <c r="AG1" s="69" t="s">
        <v>185</v>
      </c>
      <c r="AH1" s="69" t="s">
        <v>186</v>
      </c>
      <c r="AI1" s="69" t="s">
        <v>187</v>
      </c>
      <c r="AJ1" s="69" t="s">
        <v>188</v>
      </c>
      <c r="AK1" s="69" t="s">
        <v>189</v>
      </c>
      <c r="AL1" s="69" t="s">
        <v>190</v>
      </c>
      <c r="AM1" s="69" t="s">
        <v>191</v>
      </c>
      <c r="AN1" s="69" t="s">
        <v>192</v>
      </c>
      <c r="AO1" s="69" t="s">
        <v>193</v>
      </c>
      <c r="AP1" s="69" t="s">
        <v>194</v>
      </c>
      <c r="AQ1" s="69" t="s">
        <v>195</v>
      </c>
      <c r="AR1" s="69" t="s">
        <v>196</v>
      </c>
      <c r="AS1" s="69" t="s">
        <v>197</v>
      </c>
      <c r="AT1" s="69" t="s">
        <v>198</v>
      </c>
      <c r="AU1" s="69" t="s">
        <v>199</v>
      </c>
      <c r="AV1" s="69" t="s">
        <v>200</v>
      </c>
      <c r="AW1" s="69" t="s">
        <v>201</v>
      </c>
      <c r="AX1" s="69" t="s">
        <v>202</v>
      </c>
      <c r="AY1" s="69" t="s">
        <v>203</v>
      </c>
      <c r="AZ1" s="69" t="s">
        <v>204</v>
      </c>
      <c r="BA1" s="69" t="s">
        <v>205</v>
      </c>
      <c r="BB1" s="69" t="s">
        <v>206</v>
      </c>
      <c r="BC1" s="69" t="s">
        <v>207</v>
      </c>
      <c r="BD1" s="69" t="s">
        <v>208</v>
      </c>
      <c r="BE1" s="69" t="s">
        <v>209</v>
      </c>
      <c r="BF1" s="69" t="s">
        <v>210</v>
      </c>
      <c r="BG1" s="69" t="s">
        <v>211</v>
      </c>
      <c r="BH1" s="69" t="s">
        <v>212</v>
      </c>
      <c r="BI1" s="69" t="s">
        <v>213</v>
      </c>
      <c r="BJ1" s="69" t="s">
        <v>214</v>
      </c>
      <c r="BK1" s="69" t="s">
        <v>215</v>
      </c>
      <c r="BL1" s="69" t="s">
        <v>216</v>
      </c>
      <c r="BM1" s="69" t="s">
        <v>217</v>
      </c>
      <c r="BN1" s="69" t="s">
        <v>218</v>
      </c>
      <c r="BO1" s="69" t="s">
        <v>219</v>
      </c>
      <c r="BP1" s="69" t="s">
        <v>220</v>
      </c>
    </row>
    <row r="2" spans="1:68" x14ac:dyDescent="0.25">
      <c r="A2" s="16" t="s">
        <v>221</v>
      </c>
      <c r="B2" s="12">
        <v>1</v>
      </c>
      <c r="C2" s="16" t="s">
        <v>221</v>
      </c>
      <c r="D2" s="17">
        <v>39.83</v>
      </c>
      <c r="E2" s="18">
        <v>0</v>
      </c>
      <c r="F2" s="17">
        <v>6.88</v>
      </c>
      <c r="G2" s="17">
        <v>25.5</v>
      </c>
      <c r="H2" s="19">
        <v>115.35</v>
      </c>
      <c r="I2" s="17">
        <v>240.37</v>
      </c>
      <c r="J2" s="20">
        <v>1.45803783783784</v>
      </c>
      <c r="K2" s="18">
        <v>179243.853765348</v>
      </c>
      <c r="L2" s="18">
        <v>512</v>
      </c>
      <c r="M2" s="17">
        <v>1.7445999999999999</v>
      </c>
      <c r="N2" s="17">
        <v>9.4600000000000009</v>
      </c>
      <c r="O2" s="17">
        <v>15.98</v>
      </c>
      <c r="P2" s="17">
        <v>51.73</v>
      </c>
      <c r="Q2" s="17">
        <v>62.85</v>
      </c>
      <c r="R2" s="20">
        <v>0.424235135135135</v>
      </c>
      <c r="S2" s="20">
        <v>1.8822729729729699</v>
      </c>
      <c r="T2" s="18">
        <v>231396.54646747399</v>
      </c>
      <c r="U2" s="17">
        <v>99.3</v>
      </c>
      <c r="V2" s="18">
        <v>2884</v>
      </c>
      <c r="W2" s="12"/>
      <c r="X2" s="21">
        <v>1.488</v>
      </c>
      <c r="Y2" s="21">
        <v>1.5009999999999999</v>
      </c>
      <c r="Z2" s="21">
        <v>1.502</v>
      </c>
      <c r="AA2" s="21">
        <v>1.486</v>
      </c>
      <c r="AB2" s="21">
        <v>1.48</v>
      </c>
      <c r="AC2" s="21">
        <v>1.4950000000000001</v>
      </c>
      <c r="AD2" s="21">
        <v>1.5149999999999999</v>
      </c>
      <c r="AE2" s="21">
        <v>1.488</v>
      </c>
      <c r="AF2" s="21">
        <v>1.48</v>
      </c>
      <c r="AG2" s="21">
        <v>1.5029999999999999</v>
      </c>
      <c r="AH2" s="21">
        <v>1.4830000000000001</v>
      </c>
      <c r="AI2" s="21">
        <v>1.4950000000000001</v>
      </c>
      <c r="AJ2" s="21">
        <v>1.4830000000000001</v>
      </c>
      <c r="AK2" s="21">
        <v>1.502</v>
      </c>
      <c r="AL2" s="21">
        <v>1.482</v>
      </c>
      <c r="AM2" s="21">
        <v>1.484</v>
      </c>
      <c r="AN2" s="21">
        <v>1.488</v>
      </c>
      <c r="AO2" s="21">
        <v>1.502</v>
      </c>
      <c r="AP2" s="21">
        <v>1.4950000000000001</v>
      </c>
      <c r="AQ2" s="21">
        <v>1.5009999999999999</v>
      </c>
      <c r="AR2" s="21">
        <v>1.5</v>
      </c>
      <c r="AS2" s="21">
        <v>1.51</v>
      </c>
      <c r="AT2" s="21">
        <v>1.5149999999999999</v>
      </c>
      <c r="AU2" s="21">
        <v>1.4770000000000001</v>
      </c>
      <c r="AV2" s="21">
        <v>1.474</v>
      </c>
      <c r="AW2" s="21">
        <v>1.502</v>
      </c>
      <c r="AX2" s="21">
        <v>1.504</v>
      </c>
      <c r="AY2" s="21">
        <v>1.5029999999999999</v>
      </c>
      <c r="AZ2" s="21">
        <v>1.466</v>
      </c>
      <c r="BA2" s="21">
        <v>1.496</v>
      </c>
      <c r="BB2" s="21">
        <v>1.5049999999999999</v>
      </c>
      <c r="BC2" s="21">
        <v>1.4950000000000001</v>
      </c>
      <c r="BD2" s="21">
        <v>1.5</v>
      </c>
      <c r="BE2" s="21">
        <v>1.5109999999999999</v>
      </c>
      <c r="BF2" s="21">
        <v>1.4930000000000001</v>
      </c>
      <c r="BG2" s="21">
        <v>1.5229999999999999</v>
      </c>
      <c r="BH2" s="21">
        <v>1.486</v>
      </c>
      <c r="BI2" s="21">
        <v>1.502</v>
      </c>
      <c r="BJ2" s="21">
        <v>1.51</v>
      </c>
      <c r="BK2" s="21">
        <v>1.516</v>
      </c>
      <c r="BL2" s="21">
        <v>1.504</v>
      </c>
      <c r="BM2" s="21">
        <v>6.0999999999999999E-2</v>
      </c>
      <c r="BN2" s="21"/>
      <c r="BO2" s="21"/>
      <c r="BP2" s="21"/>
    </row>
    <row r="3" spans="1:68" x14ac:dyDescent="0.25">
      <c r="A3" s="16" t="s">
        <v>221</v>
      </c>
      <c r="B3" s="12">
        <v>2</v>
      </c>
      <c r="C3" s="16" t="s">
        <v>221</v>
      </c>
      <c r="D3" s="17">
        <v>39.799999999999997</v>
      </c>
      <c r="E3" s="18">
        <v>0</v>
      </c>
      <c r="F3" s="17">
        <v>6.89</v>
      </c>
      <c r="G3" s="17">
        <v>25.45</v>
      </c>
      <c r="H3" s="19">
        <v>115.23</v>
      </c>
      <c r="I3" s="17">
        <v>240.27</v>
      </c>
      <c r="J3" s="20">
        <v>1.45519189189189</v>
      </c>
      <c r="K3" s="18">
        <v>179049.95977697</v>
      </c>
      <c r="L3" s="18">
        <v>2097152</v>
      </c>
      <c r="M3" s="17">
        <v>1.7518</v>
      </c>
      <c r="N3" s="17">
        <v>9.43</v>
      </c>
      <c r="O3" s="17">
        <v>15.98</v>
      </c>
      <c r="P3" s="17">
        <v>52.17</v>
      </c>
      <c r="Q3" s="17">
        <v>62.97</v>
      </c>
      <c r="R3" s="20">
        <v>0.42228918918918901</v>
      </c>
      <c r="S3" s="20">
        <v>1.87748108108108</v>
      </c>
      <c r="T3" s="18">
        <v>231005.04868373601</v>
      </c>
      <c r="U3" s="17">
        <v>99.4</v>
      </c>
      <c r="V3" s="18">
        <v>2887</v>
      </c>
      <c r="W3" s="12"/>
      <c r="X3" s="21">
        <v>1.635</v>
      </c>
      <c r="Y3" s="21">
        <v>1.532</v>
      </c>
      <c r="Z3" s="21">
        <v>1.496</v>
      </c>
      <c r="AA3" s="21">
        <v>1.5049999999999999</v>
      </c>
      <c r="AB3" s="21">
        <v>1.494</v>
      </c>
      <c r="AC3" s="21">
        <v>1.46</v>
      </c>
      <c r="AD3" s="21">
        <v>1.504</v>
      </c>
      <c r="AE3" s="21">
        <v>1.4930000000000001</v>
      </c>
      <c r="AF3" s="21">
        <v>1.5009999999999999</v>
      </c>
      <c r="AG3" s="21">
        <v>1.498</v>
      </c>
      <c r="AH3" s="21">
        <v>1.5</v>
      </c>
      <c r="AI3" s="21">
        <v>1.4870000000000001</v>
      </c>
      <c r="AJ3" s="21">
        <v>1.4790000000000001</v>
      </c>
      <c r="AK3" s="21">
        <v>1.5209999999999999</v>
      </c>
      <c r="AL3" s="21">
        <v>1.5029999999999999</v>
      </c>
      <c r="AM3" s="21">
        <v>1.48</v>
      </c>
      <c r="AN3" s="21">
        <v>1.4870000000000001</v>
      </c>
      <c r="AO3" s="21">
        <v>1.4970000000000001</v>
      </c>
      <c r="AP3" s="21">
        <v>1.498</v>
      </c>
      <c r="AQ3" s="21">
        <v>1.5029999999999999</v>
      </c>
      <c r="AR3" s="21">
        <v>1.4850000000000001</v>
      </c>
      <c r="AS3" s="21">
        <v>1.4970000000000001</v>
      </c>
      <c r="AT3" s="21">
        <v>1.484</v>
      </c>
      <c r="AU3" s="21">
        <v>1.502</v>
      </c>
      <c r="AV3" s="21">
        <v>1.4790000000000001</v>
      </c>
      <c r="AW3" s="21">
        <v>1.4670000000000001</v>
      </c>
      <c r="AX3" s="21">
        <v>1.5029999999999999</v>
      </c>
      <c r="AY3" s="21">
        <v>1.4950000000000001</v>
      </c>
      <c r="AZ3" s="21">
        <v>1.4970000000000001</v>
      </c>
      <c r="BA3" s="21">
        <v>1.4930000000000001</v>
      </c>
      <c r="BB3" s="21">
        <v>1.486</v>
      </c>
      <c r="BC3" s="21">
        <v>1.4890000000000001</v>
      </c>
      <c r="BD3" s="21">
        <v>1.4910000000000001</v>
      </c>
      <c r="BE3" s="21">
        <v>1.488</v>
      </c>
      <c r="BF3" s="21">
        <v>1.5029999999999999</v>
      </c>
      <c r="BG3" s="21">
        <v>1.498</v>
      </c>
      <c r="BH3" s="21">
        <v>1.4990000000000001</v>
      </c>
      <c r="BI3" s="21">
        <v>1.498</v>
      </c>
      <c r="BJ3" s="21">
        <v>1.4950000000000001</v>
      </c>
      <c r="BK3" s="21">
        <v>1.5029999999999999</v>
      </c>
      <c r="BL3" s="21">
        <v>1.5249999999999999</v>
      </c>
      <c r="BM3" s="21">
        <v>5.7000000000000002E-2</v>
      </c>
      <c r="BN3" s="21"/>
      <c r="BO3" s="21"/>
      <c r="BP3" s="21"/>
    </row>
    <row r="4" spans="1:68" x14ac:dyDescent="0.25">
      <c r="A4" s="16" t="s">
        <v>221</v>
      </c>
      <c r="B4" s="12">
        <v>3</v>
      </c>
      <c r="C4" s="16" t="s">
        <v>221</v>
      </c>
      <c r="D4" s="17">
        <v>39.79</v>
      </c>
      <c r="E4" s="18">
        <v>0</v>
      </c>
      <c r="F4" s="17">
        <v>6.9</v>
      </c>
      <c r="G4" s="17">
        <v>25.46</v>
      </c>
      <c r="H4" s="19">
        <v>115.16</v>
      </c>
      <c r="I4" s="17">
        <v>240.24</v>
      </c>
      <c r="J4" s="20">
        <v>1.4544999999999999</v>
      </c>
      <c r="K4" s="18">
        <v>179293.87267830901</v>
      </c>
      <c r="L4" s="18">
        <v>512</v>
      </c>
      <c r="M4" s="17">
        <v>1.7534000000000001</v>
      </c>
      <c r="N4" s="17">
        <v>9.42</v>
      </c>
      <c r="O4" s="17">
        <v>15.97</v>
      </c>
      <c r="P4" s="17">
        <v>51.95</v>
      </c>
      <c r="Q4" s="17">
        <v>62.89</v>
      </c>
      <c r="R4" s="20">
        <v>0.421745945945946</v>
      </c>
      <c r="S4" s="20">
        <v>1.87624594594595</v>
      </c>
      <c r="T4" s="18">
        <v>231281.629140176</v>
      </c>
      <c r="U4" s="17">
        <v>99.5</v>
      </c>
      <c r="V4" s="18">
        <v>2889</v>
      </c>
      <c r="W4" s="12"/>
      <c r="X4" s="21">
        <v>1.452</v>
      </c>
      <c r="Y4" s="21">
        <v>1.4990000000000001</v>
      </c>
      <c r="Z4" s="21">
        <v>1.5149999999999999</v>
      </c>
      <c r="AA4" s="21">
        <v>1.4950000000000001</v>
      </c>
      <c r="AB4" s="21">
        <v>1.496</v>
      </c>
      <c r="AC4" s="21">
        <v>1.5069999999999999</v>
      </c>
      <c r="AD4" s="21">
        <v>1.494</v>
      </c>
      <c r="AE4" s="21">
        <v>1.4990000000000001</v>
      </c>
      <c r="AF4" s="21">
        <v>1.486</v>
      </c>
      <c r="AG4" s="21">
        <v>1.4830000000000001</v>
      </c>
      <c r="AH4" s="21">
        <v>1.5209999999999999</v>
      </c>
      <c r="AI4" s="21">
        <v>1.488</v>
      </c>
      <c r="AJ4" s="21">
        <v>1.468</v>
      </c>
      <c r="AK4" s="21">
        <v>1.4930000000000001</v>
      </c>
      <c r="AL4" s="21">
        <v>1.4950000000000001</v>
      </c>
      <c r="AM4" s="21">
        <v>1.498</v>
      </c>
      <c r="AN4" s="21">
        <v>1.4710000000000001</v>
      </c>
      <c r="AO4" s="21">
        <v>1.5129999999999999</v>
      </c>
      <c r="AP4" s="21">
        <v>1.4930000000000001</v>
      </c>
      <c r="AQ4" s="21">
        <v>1.512</v>
      </c>
      <c r="AR4" s="21">
        <v>1.4810000000000001</v>
      </c>
      <c r="AS4" s="21">
        <v>1.51</v>
      </c>
      <c r="AT4" s="21">
        <v>1.502</v>
      </c>
      <c r="AU4" s="21">
        <v>1.51</v>
      </c>
      <c r="AV4" s="21">
        <v>1.484</v>
      </c>
      <c r="AW4" s="21">
        <v>1.492</v>
      </c>
      <c r="AX4" s="21">
        <v>1.478</v>
      </c>
      <c r="AY4" s="21">
        <v>1.492</v>
      </c>
      <c r="AZ4" s="21">
        <v>1.4890000000000001</v>
      </c>
      <c r="BA4" s="21">
        <v>1.4870000000000001</v>
      </c>
      <c r="BB4" s="21">
        <v>1.498</v>
      </c>
      <c r="BC4" s="21">
        <v>1.484</v>
      </c>
      <c r="BD4" s="21">
        <v>1.5189999999999999</v>
      </c>
      <c r="BE4" s="21">
        <v>1.496</v>
      </c>
      <c r="BF4" s="21">
        <v>1.5009999999999999</v>
      </c>
      <c r="BG4" s="21">
        <v>1.488</v>
      </c>
      <c r="BH4" s="21">
        <v>1.49</v>
      </c>
      <c r="BI4" s="21">
        <v>1.504</v>
      </c>
      <c r="BJ4" s="21">
        <v>1.4990000000000001</v>
      </c>
      <c r="BK4" s="21">
        <v>1.5109999999999999</v>
      </c>
      <c r="BL4" s="21">
        <v>1.4790000000000001</v>
      </c>
      <c r="BM4" s="21">
        <v>0</v>
      </c>
      <c r="BN4" s="21"/>
      <c r="BO4" s="21"/>
      <c r="BP4" s="21"/>
    </row>
    <row r="5" spans="1:68" x14ac:dyDescent="0.25">
      <c r="A5" s="22" t="s">
        <v>222</v>
      </c>
      <c r="B5" s="15">
        <v>1</v>
      </c>
      <c r="C5" s="22" t="s">
        <v>222</v>
      </c>
      <c r="D5" s="23">
        <v>47.09</v>
      </c>
      <c r="E5" s="24">
        <v>0</v>
      </c>
      <c r="F5" s="23">
        <v>6.66</v>
      </c>
      <c r="G5" s="23">
        <v>29.36</v>
      </c>
      <c r="H5" s="25">
        <v>169.77</v>
      </c>
      <c r="I5" s="23">
        <v>247.43</v>
      </c>
      <c r="J5" s="26">
        <v>0.89723636363636405</v>
      </c>
      <c r="K5" s="24">
        <v>107868.29212190901</v>
      </c>
      <c r="L5" s="24">
        <v>512</v>
      </c>
      <c r="M5" s="23">
        <v>3.3125</v>
      </c>
      <c r="N5" s="23">
        <v>9.1199999999999992</v>
      </c>
      <c r="O5" s="23">
        <v>17.100000000000001</v>
      </c>
      <c r="P5" s="23">
        <v>56.6</v>
      </c>
      <c r="Q5" s="23">
        <v>70.27</v>
      </c>
      <c r="R5" s="26">
        <v>0.41302272727272699</v>
      </c>
      <c r="S5" s="26">
        <v>1.3102590909090901</v>
      </c>
      <c r="T5" s="24">
        <v>157489.13168487599</v>
      </c>
      <c r="U5" s="23">
        <v>99.5</v>
      </c>
      <c r="V5" s="24">
        <v>2889</v>
      </c>
      <c r="W5" s="15"/>
      <c r="X5" s="27">
        <v>0.876</v>
      </c>
      <c r="Y5" s="27">
        <v>0.86099999999999999</v>
      </c>
      <c r="Z5" s="27">
        <v>0.88800000000000001</v>
      </c>
      <c r="AA5" s="27">
        <v>0.87</v>
      </c>
      <c r="AB5" s="27">
        <v>0.86699999999999999</v>
      </c>
      <c r="AC5" s="27">
        <v>0.873</v>
      </c>
      <c r="AD5" s="27">
        <v>0.874</v>
      </c>
      <c r="AE5" s="27">
        <v>0.85</v>
      </c>
      <c r="AF5" s="27">
        <v>0.89800000000000002</v>
      </c>
      <c r="AG5" s="27">
        <v>0.90500000000000003</v>
      </c>
      <c r="AH5" s="27">
        <v>0.878</v>
      </c>
      <c r="AI5" s="27">
        <v>0.91400000000000003</v>
      </c>
      <c r="AJ5" s="27">
        <v>0.91100000000000003</v>
      </c>
      <c r="AK5" s="27">
        <v>0.91500000000000004</v>
      </c>
      <c r="AL5" s="27">
        <v>0.89500000000000002</v>
      </c>
      <c r="AM5" s="27">
        <v>0.90200000000000002</v>
      </c>
      <c r="AN5" s="27">
        <v>0.93100000000000005</v>
      </c>
      <c r="AO5" s="27">
        <v>0.91700000000000004</v>
      </c>
      <c r="AP5" s="27">
        <v>0.89500000000000002</v>
      </c>
      <c r="AQ5" s="27">
        <v>0.85899999999999999</v>
      </c>
      <c r="AR5" s="27">
        <v>0.92700000000000005</v>
      </c>
      <c r="AS5" s="27">
        <v>0.90700000000000003</v>
      </c>
      <c r="AT5" s="27">
        <v>0.89</v>
      </c>
      <c r="AU5" s="27">
        <v>0.89200000000000002</v>
      </c>
      <c r="AV5" s="27">
        <v>0.91700000000000004</v>
      </c>
      <c r="AW5" s="27">
        <v>0.92300000000000004</v>
      </c>
      <c r="AX5" s="27">
        <v>0.90300000000000002</v>
      </c>
      <c r="AY5" s="27">
        <v>0.874</v>
      </c>
      <c r="AZ5" s="27">
        <v>0.88700000000000001</v>
      </c>
      <c r="BA5" s="27">
        <v>0.89100000000000001</v>
      </c>
      <c r="BB5" s="27">
        <v>0.89900000000000002</v>
      </c>
      <c r="BC5" s="27">
        <v>0.90100000000000002</v>
      </c>
      <c r="BD5" s="27">
        <v>0.92</v>
      </c>
      <c r="BE5" s="27">
        <v>0.90300000000000002</v>
      </c>
      <c r="BF5" s="27">
        <v>0.89400000000000002</v>
      </c>
      <c r="BG5" s="27">
        <v>0.875</v>
      </c>
      <c r="BH5" s="27">
        <v>0.92700000000000005</v>
      </c>
      <c r="BI5" s="27">
        <v>0.89700000000000002</v>
      </c>
      <c r="BJ5" s="27">
        <v>0.91500000000000004</v>
      </c>
      <c r="BK5" s="27">
        <v>0.875</v>
      </c>
      <c r="BL5" s="27">
        <v>0.95099999999999996</v>
      </c>
      <c r="BM5" s="27">
        <v>0.92</v>
      </c>
      <c r="BN5" s="27">
        <v>0.90400000000000003</v>
      </c>
      <c r="BO5" s="27">
        <v>0.88300000000000001</v>
      </c>
      <c r="BP5" s="27">
        <v>0.91300000000000003</v>
      </c>
    </row>
    <row r="6" spans="1:68" x14ac:dyDescent="0.25">
      <c r="A6" s="22" t="s">
        <v>222</v>
      </c>
      <c r="B6" s="15">
        <v>2</v>
      </c>
      <c r="C6" s="22" t="s">
        <v>222</v>
      </c>
      <c r="D6" s="23">
        <v>39.86</v>
      </c>
      <c r="E6" s="24">
        <v>0</v>
      </c>
      <c r="F6" s="23">
        <v>6.9</v>
      </c>
      <c r="G6" s="23">
        <v>29.12</v>
      </c>
      <c r="H6" s="25">
        <v>164.7</v>
      </c>
      <c r="I6" s="23">
        <v>247.1</v>
      </c>
      <c r="J6" s="26">
        <v>0.90761081081081096</v>
      </c>
      <c r="K6" s="24">
        <v>109312.92573288101</v>
      </c>
      <c r="L6" s="24">
        <v>512</v>
      </c>
      <c r="M6" s="23">
        <v>3.1890999999999998</v>
      </c>
      <c r="N6" s="23">
        <v>8.5299999999999994</v>
      </c>
      <c r="O6" s="23">
        <v>16.13</v>
      </c>
      <c r="P6" s="23">
        <v>56.15</v>
      </c>
      <c r="Q6" s="23">
        <v>75.3</v>
      </c>
      <c r="R6" s="26">
        <v>0.43472702702702698</v>
      </c>
      <c r="S6" s="26">
        <v>1.3423378378378401</v>
      </c>
      <c r="T6" s="24">
        <v>161639.364606602</v>
      </c>
      <c r="U6" s="23">
        <v>99.5</v>
      </c>
      <c r="V6" s="24">
        <v>2889</v>
      </c>
      <c r="W6" s="15"/>
      <c r="X6" s="27">
        <v>0.875</v>
      </c>
      <c r="Y6" s="27">
        <v>0.92600000000000005</v>
      </c>
      <c r="Z6" s="27">
        <v>0.90500000000000003</v>
      </c>
      <c r="AA6" s="27">
        <v>0.90500000000000003</v>
      </c>
      <c r="AB6" s="27">
        <v>0.88400000000000001</v>
      </c>
      <c r="AC6" s="27">
        <v>0.91700000000000004</v>
      </c>
      <c r="AD6" s="27">
        <v>0.93</v>
      </c>
      <c r="AE6" s="27">
        <v>0.91400000000000003</v>
      </c>
      <c r="AF6" s="27">
        <v>0.876</v>
      </c>
      <c r="AG6" s="27">
        <v>0.93899999999999995</v>
      </c>
      <c r="AH6" s="27">
        <v>0.91100000000000003</v>
      </c>
      <c r="AI6" s="27">
        <v>0.89</v>
      </c>
      <c r="AJ6" s="27">
        <v>0.84599999999999997</v>
      </c>
      <c r="AK6" s="27">
        <v>1.177</v>
      </c>
      <c r="AL6" s="27">
        <v>1.3049999999999999</v>
      </c>
      <c r="AM6" s="27">
        <v>0.93500000000000005</v>
      </c>
      <c r="AN6" s="27">
        <v>0.874</v>
      </c>
      <c r="AO6" s="27">
        <v>0.92100000000000004</v>
      </c>
      <c r="AP6" s="27">
        <v>0.91200000000000003</v>
      </c>
      <c r="AQ6" s="27">
        <v>0.90900000000000003</v>
      </c>
      <c r="AR6" s="27">
        <v>0.878</v>
      </c>
      <c r="AS6" s="27">
        <v>0.91900000000000004</v>
      </c>
      <c r="AT6" s="27">
        <v>0.88</v>
      </c>
      <c r="AU6" s="27">
        <v>0.91300000000000003</v>
      </c>
      <c r="AV6" s="27">
        <v>0.90100000000000002</v>
      </c>
      <c r="AW6" s="27">
        <v>0.91100000000000003</v>
      </c>
      <c r="AX6" s="27">
        <v>0.90600000000000003</v>
      </c>
      <c r="AY6" s="27">
        <v>0.89400000000000002</v>
      </c>
      <c r="AZ6" s="27">
        <v>0.88500000000000001</v>
      </c>
      <c r="BA6" s="27">
        <v>0.86599999999999999</v>
      </c>
      <c r="BB6" s="27">
        <v>0.90500000000000003</v>
      </c>
      <c r="BC6" s="27">
        <v>0.88800000000000001</v>
      </c>
      <c r="BD6" s="27">
        <v>0.82299999999999995</v>
      </c>
      <c r="BE6" s="27">
        <v>0.86199999999999999</v>
      </c>
      <c r="BF6" s="27">
        <v>0.871</v>
      </c>
      <c r="BG6" s="27">
        <v>0.89400000000000002</v>
      </c>
      <c r="BH6" s="27">
        <v>0.89700000000000002</v>
      </c>
      <c r="BI6" s="27">
        <v>0.86699999999999999</v>
      </c>
      <c r="BJ6" s="27">
        <v>0.90300000000000002</v>
      </c>
      <c r="BK6" s="27">
        <v>0.88300000000000001</v>
      </c>
      <c r="BL6" s="27">
        <v>0.83599999999999997</v>
      </c>
      <c r="BM6" s="27">
        <v>0.74399999999999999</v>
      </c>
      <c r="BN6" s="27"/>
      <c r="BO6" s="27"/>
      <c r="BP6" s="27"/>
    </row>
    <row r="7" spans="1:68" x14ac:dyDescent="0.25">
      <c r="A7" s="22" t="s">
        <v>222</v>
      </c>
      <c r="B7" s="15">
        <v>3</v>
      </c>
      <c r="C7" s="22" t="s">
        <v>222</v>
      </c>
      <c r="D7" s="23">
        <v>39.93</v>
      </c>
      <c r="E7" s="24">
        <v>0</v>
      </c>
      <c r="F7" s="23">
        <v>6.68</v>
      </c>
      <c r="G7" s="23">
        <v>29.15</v>
      </c>
      <c r="H7" s="25">
        <v>148.63</v>
      </c>
      <c r="I7" s="23">
        <v>245.32</v>
      </c>
      <c r="J7" s="26">
        <v>0.88066216216216198</v>
      </c>
      <c r="K7" s="24">
        <v>105911.461775722</v>
      </c>
      <c r="L7" s="24">
        <v>512</v>
      </c>
      <c r="M7" s="23">
        <v>3.0030000000000001</v>
      </c>
      <c r="N7" s="23">
        <v>9.36</v>
      </c>
      <c r="O7" s="23">
        <v>18.97</v>
      </c>
      <c r="P7" s="23">
        <v>57.66</v>
      </c>
      <c r="Q7" s="23">
        <v>86.63</v>
      </c>
      <c r="R7" s="26">
        <v>0.42709729729729701</v>
      </c>
      <c r="S7" s="26">
        <v>1.3077594594594599</v>
      </c>
      <c r="T7" s="24">
        <v>157242.61951971799</v>
      </c>
      <c r="U7" s="23">
        <v>99.5</v>
      </c>
      <c r="V7" s="24">
        <v>2889</v>
      </c>
      <c r="W7" s="15"/>
      <c r="X7" s="27">
        <v>0.83399999999999996</v>
      </c>
      <c r="Y7" s="27">
        <v>0.91200000000000003</v>
      </c>
      <c r="Z7" s="27">
        <v>0.878</v>
      </c>
      <c r="AA7" s="27">
        <v>0.877</v>
      </c>
      <c r="AB7" s="27">
        <v>0.85</v>
      </c>
      <c r="AC7" s="27">
        <v>0.88300000000000001</v>
      </c>
      <c r="AD7" s="27">
        <v>1.012</v>
      </c>
      <c r="AE7" s="27">
        <v>0.90400000000000003</v>
      </c>
      <c r="AF7" s="27">
        <v>0.84199999999999997</v>
      </c>
      <c r="AG7" s="27">
        <v>0.83799999999999997</v>
      </c>
      <c r="AH7" s="27">
        <v>0.95599999999999996</v>
      </c>
      <c r="AI7" s="27">
        <v>0.92100000000000004</v>
      </c>
      <c r="AJ7" s="27">
        <v>0.84299999999999997</v>
      </c>
      <c r="AK7" s="27">
        <v>0.85199999999999998</v>
      </c>
      <c r="AL7" s="27">
        <v>0.84699999999999998</v>
      </c>
      <c r="AM7" s="27">
        <v>0.88100000000000001</v>
      </c>
      <c r="AN7" s="27">
        <v>0.86599999999999999</v>
      </c>
      <c r="AO7" s="27">
        <v>0.879</v>
      </c>
      <c r="AP7" s="27">
        <v>0.85199999999999998</v>
      </c>
      <c r="AQ7" s="27">
        <v>0.89900000000000002</v>
      </c>
      <c r="AR7" s="27">
        <v>0.86499999999999999</v>
      </c>
      <c r="AS7" s="27">
        <v>0.89300000000000002</v>
      </c>
      <c r="AT7" s="27">
        <v>0.91500000000000004</v>
      </c>
      <c r="AU7" s="27">
        <v>0.87</v>
      </c>
      <c r="AV7" s="27">
        <v>0.82799999999999996</v>
      </c>
      <c r="AW7" s="27">
        <v>0.89800000000000002</v>
      </c>
      <c r="AX7" s="27">
        <v>0.92400000000000004</v>
      </c>
      <c r="AY7" s="27">
        <v>0.88</v>
      </c>
      <c r="AZ7" s="27">
        <v>0.86199999999999999</v>
      </c>
      <c r="BA7" s="27">
        <v>0.89300000000000002</v>
      </c>
      <c r="BB7" s="27">
        <v>0.89600000000000002</v>
      </c>
      <c r="BC7" s="27">
        <v>0.88500000000000001</v>
      </c>
      <c r="BD7" s="27">
        <v>0.86699999999999999</v>
      </c>
      <c r="BE7" s="27">
        <v>0.89900000000000002</v>
      </c>
      <c r="BF7" s="27">
        <v>0.89</v>
      </c>
      <c r="BG7" s="27">
        <v>0.88900000000000001</v>
      </c>
      <c r="BH7" s="27">
        <v>0.874</v>
      </c>
      <c r="BI7" s="27">
        <v>0.88900000000000001</v>
      </c>
      <c r="BJ7" s="27">
        <v>0.89600000000000002</v>
      </c>
      <c r="BK7" s="27">
        <v>0.89</v>
      </c>
      <c r="BL7" s="27">
        <v>0.82899999999999996</v>
      </c>
      <c r="BM7" s="27">
        <v>0.77800000000000002</v>
      </c>
      <c r="BN7" s="27"/>
      <c r="BO7" s="27"/>
      <c r="BP7" s="27"/>
    </row>
    <row r="8" spans="1:68" x14ac:dyDescent="0.25">
      <c r="A8" s="16" t="s">
        <v>223</v>
      </c>
      <c r="B8" s="12">
        <v>1</v>
      </c>
      <c r="C8" s="16" t="s">
        <v>224</v>
      </c>
      <c r="D8" s="17">
        <v>47.45</v>
      </c>
      <c r="E8" s="18">
        <v>0</v>
      </c>
      <c r="F8" s="17">
        <v>5.18</v>
      </c>
      <c r="G8" s="17">
        <v>28.75</v>
      </c>
      <c r="H8" s="19">
        <v>154.88</v>
      </c>
      <c r="I8" s="17">
        <v>245.91</v>
      </c>
      <c r="J8" s="20">
        <v>0.868206818181818</v>
      </c>
      <c r="K8" s="18">
        <v>104310.48665043</v>
      </c>
      <c r="L8" s="18">
        <v>512</v>
      </c>
      <c r="M8" s="17">
        <v>2.9996999999999998</v>
      </c>
      <c r="N8" s="17">
        <v>7.5</v>
      </c>
      <c r="O8" s="17">
        <v>15.84</v>
      </c>
      <c r="P8" s="17">
        <v>60.19</v>
      </c>
      <c r="Q8" s="17">
        <v>119</v>
      </c>
      <c r="R8" s="20">
        <v>0.45513636363636401</v>
      </c>
      <c r="S8" s="20">
        <v>1.32334318181818</v>
      </c>
      <c r="T8" s="18">
        <v>159012.93598639799</v>
      </c>
      <c r="U8" s="17">
        <v>99.5</v>
      </c>
      <c r="V8" s="18">
        <v>2890</v>
      </c>
      <c r="W8" s="12"/>
      <c r="X8" s="21">
        <v>0.83699999999999997</v>
      </c>
      <c r="Y8" s="21">
        <v>0.82299999999999995</v>
      </c>
      <c r="Z8" s="21">
        <v>0.81100000000000005</v>
      </c>
      <c r="AA8" s="21">
        <v>0.81899999999999995</v>
      </c>
      <c r="AB8" s="21">
        <v>0.83699999999999997</v>
      </c>
      <c r="AC8" s="21">
        <v>0.81499999999999995</v>
      </c>
      <c r="AD8" s="21">
        <v>0.83</v>
      </c>
      <c r="AE8" s="21">
        <v>0.82199999999999995</v>
      </c>
      <c r="AF8" s="21">
        <v>0.84199999999999997</v>
      </c>
      <c r="AG8" s="21">
        <v>0.82299999999999995</v>
      </c>
      <c r="AH8" s="21">
        <v>0.83099999999999996</v>
      </c>
      <c r="AI8" s="21">
        <v>0.83799999999999997</v>
      </c>
      <c r="AJ8" s="21">
        <v>0.83799999999999997</v>
      </c>
      <c r="AK8" s="21">
        <v>0.83399999999999996</v>
      </c>
      <c r="AL8" s="21">
        <v>0.83</v>
      </c>
      <c r="AM8" s="21">
        <v>0.82799999999999996</v>
      </c>
      <c r="AN8" s="21">
        <v>0.85499999999999998</v>
      </c>
      <c r="AO8" s="21">
        <v>0.82199999999999995</v>
      </c>
      <c r="AP8" s="21">
        <v>0.83699999999999997</v>
      </c>
      <c r="AQ8" s="21">
        <v>0.80100000000000005</v>
      </c>
      <c r="AR8" s="21">
        <v>0.84099999999999997</v>
      </c>
      <c r="AS8" s="21">
        <v>0.81399999999999995</v>
      </c>
      <c r="AT8" s="21">
        <v>1.0740000000000001</v>
      </c>
      <c r="AU8" s="21">
        <v>1.1140000000000001</v>
      </c>
      <c r="AV8" s="21">
        <v>1.4330000000000001</v>
      </c>
      <c r="AW8" s="21">
        <v>0.96899999999999997</v>
      </c>
      <c r="AX8" s="21">
        <v>0.93799999999999994</v>
      </c>
      <c r="AY8" s="21">
        <v>0.92600000000000005</v>
      </c>
      <c r="AZ8" s="21">
        <v>0.90700000000000003</v>
      </c>
      <c r="BA8" s="21">
        <v>0.90300000000000002</v>
      </c>
      <c r="BB8" s="21">
        <v>0.92900000000000005</v>
      </c>
      <c r="BC8" s="21">
        <v>0.84399999999999997</v>
      </c>
      <c r="BD8" s="21">
        <v>0.85699999999999998</v>
      </c>
      <c r="BE8" s="21">
        <v>0.82799999999999996</v>
      </c>
      <c r="BF8" s="21">
        <v>0.82699999999999996</v>
      </c>
      <c r="BG8" s="21">
        <v>0.83899999999999997</v>
      </c>
      <c r="BH8" s="21">
        <v>0.83099999999999996</v>
      </c>
      <c r="BI8" s="21">
        <v>0.83799999999999997</v>
      </c>
      <c r="BJ8" s="21">
        <v>0.80700000000000005</v>
      </c>
      <c r="BK8" s="21">
        <v>0.82699999999999996</v>
      </c>
      <c r="BL8" s="21">
        <v>0.84</v>
      </c>
      <c r="BM8" s="21">
        <v>0.83</v>
      </c>
      <c r="BN8" s="21">
        <v>0.81799999999999995</v>
      </c>
      <c r="BO8" s="21">
        <v>0.82599999999999996</v>
      </c>
      <c r="BP8" s="21">
        <v>0.83799999999999997</v>
      </c>
    </row>
    <row r="9" spans="1:68" x14ac:dyDescent="0.25">
      <c r="A9" s="16" t="s">
        <v>223</v>
      </c>
      <c r="B9" s="12">
        <v>2</v>
      </c>
      <c r="C9" s="16" t="s">
        <v>224</v>
      </c>
      <c r="D9" s="17">
        <v>39.79</v>
      </c>
      <c r="E9" s="18">
        <v>0</v>
      </c>
      <c r="F9" s="17">
        <v>5.32</v>
      </c>
      <c r="G9" s="17">
        <v>28.48</v>
      </c>
      <c r="H9" s="19">
        <v>173.99</v>
      </c>
      <c r="I9" s="17">
        <v>247.86</v>
      </c>
      <c r="J9" s="20">
        <v>0.84118055555555604</v>
      </c>
      <c r="K9" s="18">
        <v>100954.39612450601</v>
      </c>
      <c r="L9" s="18">
        <v>512</v>
      </c>
      <c r="M9" s="17">
        <v>3.1836000000000002</v>
      </c>
      <c r="N9" s="17">
        <v>7.49</v>
      </c>
      <c r="O9" s="17">
        <v>15.78</v>
      </c>
      <c r="P9" s="17">
        <v>53.3</v>
      </c>
      <c r="Q9" s="17">
        <v>63.45</v>
      </c>
      <c r="R9" s="20">
        <v>0.40217777777777802</v>
      </c>
      <c r="S9" s="20">
        <v>1.24335833333333</v>
      </c>
      <c r="T9" s="18">
        <v>149221.58806169601</v>
      </c>
      <c r="U9" s="17">
        <v>99.5</v>
      </c>
      <c r="V9" s="18">
        <v>2889</v>
      </c>
      <c r="W9" s="12"/>
      <c r="X9" s="21">
        <v>0.80800000000000005</v>
      </c>
      <c r="Y9" s="21">
        <v>0.83899999999999997</v>
      </c>
      <c r="Z9" s="21">
        <v>0.84099999999999997</v>
      </c>
      <c r="AA9" s="21">
        <v>0.82399999999999995</v>
      </c>
      <c r="AB9" s="21">
        <v>0.82</v>
      </c>
      <c r="AC9" s="21">
        <v>0.83199999999999996</v>
      </c>
      <c r="AD9" s="21">
        <v>0.84099999999999997</v>
      </c>
      <c r="AE9" s="21">
        <v>0.82899999999999996</v>
      </c>
      <c r="AF9" s="21">
        <v>0.82899999999999996</v>
      </c>
      <c r="AG9" s="21">
        <v>0.83299999999999996</v>
      </c>
      <c r="AH9" s="21">
        <v>0.83499999999999996</v>
      </c>
      <c r="AI9" s="21">
        <v>0.82799999999999996</v>
      </c>
      <c r="AJ9" s="21">
        <v>0.81499999999999995</v>
      </c>
      <c r="AK9" s="21">
        <v>0.82899999999999996</v>
      </c>
      <c r="AL9" s="21">
        <v>0.83</v>
      </c>
      <c r="AM9" s="21">
        <v>0.85499999999999998</v>
      </c>
      <c r="AN9" s="21">
        <v>0.93600000000000005</v>
      </c>
      <c r="AO9" s="21">
        <v>0.89200000000000002</v>
      </c>
      <c r="AP9" s="21">
        <v>0.877</v>
      </c>
      <c r="AQ9" s="21">
        <v>0.89</v>
      </c>
      <c r="AR9" s="21">
        <v>0.89700000000000002</v>
      </c>
      <c r="AS9" s="21">
        <v>0.84199999999999997</v>
      </c>
      <c r="AT9" s="21">
        <v>0.76700000000000002</v>
      </c>
      <c r="AU9" s="21">
        <v>0.84799999999999998</v>
      </c>
      <c r="AV9" s="21">
        <v>0.84</v>
      </c>
      <c r="AW9" s="21">
        <v>0.83099999999999996</v>
      </c>
      <c r="AX9" s="21">
        <v>0.84899999999999998</v>
      </c>
      <c r="AY9" s="21">
        <v>0.81699999999999995</v>
      </c>
      <c r="AZ9" s="21">
        <v>0.84299999999999997</v>
      </c>
      <c r="BA9" s="21">
        <v>0.81599999999999995</v>
      </c>
      <c r="BB9" s="21">
        <v>0.85099999999999998</v>
      </c>
      <c r="BC9" s="21">
        <v>0.82499999999999996</v>
      </c>
      <c r="BD9" s="21">
        <v>0.82499999999999996</v>
      </c>
      <c r="BE9" s="21">
        <v>0.83299999999999996</v>
      </c>
      <c r="BF9" s="21">
        <v>0.84799999999999998</v>
      </c>
      <c r="BG9" s="21">
        <v>0.85799999999999998</v>
      </c>
      <c r="BH9" s="21">
        <v>0.83799999999999997</v>
      </c>
      <c r="BI9" s="21">
        <v>0.83599999999999997</v>
      </c>
      <c r="BJ9" s="21">
        <v>0.84699999999999998</v>
      </c>
      <c r="BK9" s="21">
        <v>0.83</v>
      </c>
      <c r="BL9" s="21">
        <v>0.79300000000000004</v>
      </c>
      <c r="BM9" s="21"/>
      <c r="BN9" s="21"/>
      <c r="BO9" s="21"/>
      <c r="BP9" s="21"/>
    </row>
    <row r="10" spans="1:68" x14ac:dyDescent="0.25">
      <c r="A10" s="16" t="s">
        <v>223</v>
      </c>
      <c r="B10" s="12">
        <v>3</v>
      </c>
      <c r="C10" s="16" t="s">
        <v>224</v>
      </c>
      <c r="D10" s="17">
        <v>39.76</v>
      </c>
      <c r="E10" s="18">
        <v>0</v>
      </c>
      <c r="F10" s="17">
        <v>5.17</v>
      </c>
      <c r="G10" s="17">
        <v>28.42</v>
      </c>
      <c r="H10" s="19">
        <v>172.29</v>
      </c>
      <c r="I10" s="17">
        <v>247.63</v>
      </c>
      <c r="J10" s="20">
        <v>0.84361666666666701</v>
      </c>
      <c r="K10" s="18">
        <v>101264.64516848901</v>
      </c>
      <c r="L10" s="18">
        <v>256</v>
      </c>
      <c r="M10" s="17">
        <v>3.1665999999999999</v>
      </c>
      <c r="N10" s="17">
        <v>7.58</v>
      </c>
      <c r="O10" s="17">
        <v>15.76</v>
      </c>
      <c r="P10" s="17">
        <v>52.3</v>
      </c>
      <c r="Q10" s="17">
        <v>63.2</v>
      </c>
      <c r="R10" s="20">
        <v>0.39993888888888901</v>
      </c>
      <c r="S10" s="20">
        <v>1.24355555555556</v>
      </c>
      <c r="T10" s="18">
        <v>149262.77616603399</v>
      </c>
      <c r="U10" s="17">
        <v>99.5</v>
      </c>
      <c r="V10" s="18">
        <v>2889</v>
      </c>
      <c r="W10" s="12"/>
      <c r="X10" s="21">
        <v>0.82299999999999995</v>
      </c>
      <c r="Y10" s="21">
        <v>0.84399999999999997</v>
      </c>
      <c r="Z10" s="21">
        <v>0.83499999999999996</v>
      </c>
      <c r="AA10" s="21">
        <v>0.84599999999999997</v>
      </c>
      <c r="AB10" s="21">
        <v>0.83299999999999996</v>
      </c>
      <c r="AC10" s="21">
        <v>0.84799999999999998</v>
      </c>
      <c r="AD10" s="21">
        <v>0.83599999999999997</v>
      </c>
      <c r="AE10" s="21">
        <v>0.84299999999999997</v>
      </c>
      <c r="AF10" s="21">
        <v>0.83299999999999996</v>
      </c>
      <c r="AG10" s="21">
        <v>0.85299999999999998</v>
      </c>
      <c r="AH10" s="21">
        <v>0.85499999999999998</v>
      </c>
      <c r="AI10" s="21">
        <v>0.84699999999999998</v>
      </c>
      <c r="AJ10" s="21">
        <v>0.82399999999999995</v>
      </c>
      <c r="AK10" s="21">
        <v>0.86099999999999999</v>
      </c>
      <c r="AL10" s="21">
        <v>0.84399999999999997</v>
      </c>
      <c r="AM10" s="21">
        <v>0.84399999999999997</v>
      </c>
      <c r="AN10" s="21">
        <v>0.83799999999999997</v>
      </c>
      <c r="AO10" s="21">
        <v>0.82299999999999995</v>
      </c>
      <c r="AP10" s="21">
        <v>0.82499999999999996</v>
      </c>
      <c r="AQ10" s="21">
        <v>0.83</v>
      </c>
      <c r="AR10" s="21">
        <v>0.82399999999999995</v>
      </c>
      <c r="AS10" s="21">
        <v>0.84299999999999997</v>
      </c>
      <c r="AT10" s="21">
        <v>0.83199999999999996</v>
      </c>
      <c r="AU10" s="21">
        <v>0.83499999999999996</v>
      </c>
      <c r="AV10" s="21">
        <v>0.83699999999999997</v>
      </c>
      <c r="AW10" s="21">
        <v>0.83899999999999997</v>
      </c>
      <c r="AX10" s="21">
        <v>0.84799999999999998</v>
      </c>
      <c r="AY10" s="21">
        <v>0.83799999999999997</v>
      </c>
      <c r="AZ10" s="21">
        <v>0.83399999999999996</v>
      </c>
      <c r="BA10" s="21">
        <v>0.86399999999999999</v>
      </c>
      <c r="BB10" s="21">
        <v>0.85599999999999998</v>
      </c>
      <c r="BC10" s="21">
        <v>0.86</v>
      </c>
      <c r="BD10" s="21">
        <v>0.83499999999999996</v>
      </c>
      <c r="BE10" s="21">
        <v>0.83399999999999996</v>
      </c>
      <c r="BF10" s="21">
        <v>0.85499999999999998</v>
      </c>
      <c r="BG10" s="21">
        <v>0.94699999999999995</v>
      </c>
      <c r="BH10" s="21">
        <v>0.85599999999999998</v>
      </c>
      <c r="BI10" s="21">
        <v>0.83799999999999997</v>
      </c>
      <c r="BJ10" s="21">
        <v>0.85299999999999998</v>
      </c>
      <c r="BK10" s="21">
        <v>0.85499999999999998</v>
      </c>
      <c r="BL10" s="21">
        <v>0.78300000000000003</v>
      </c>
      <c r="BM10" s="21"/>
      <c r="BN10" s="21"/>
      <c r="BO10" s="21"/>
      <c r="BP10" s="21"/>
    </row>
    <row r="11" spans="1:68" x14ac:dyDescent="0.25">
      <c r="A11" s="22" t="s">
        <v>225</v>
      </c>
      <c r="B11" s="15">
        <v>1</v>
      </c>
      <c r="C11" s="22" t="s">
        <v>225</v>
      </c>
      <c r="D11" s="23">
        <v>39.79</v>
      </c>
      <c r="E11" s="24">
        <v>0</v>
      </c>
      <c r="F11" s="23">
        <v>5</v>
      </c>
      <c r="G11" s="23">
        <v>28.17</v>
      </c>
      <c r="H11" s="25">
        <v>172.18</v>
      </c>
      <c r="I11" s="23">
        <v>247.66</v>
      </c>
      <c r="J11" s="26">
        <v>0.83775555555555603</v>
      </c>
      <c r="K11" s="24">
        <v>100556.80111265701</v>
      </c>
      <c r="L11" s="24">
        <v>512</v>
      </c>
      <c r="M11" s="23">
        <v>3.0968</v>
      </c>
      <c r="N11" s="23">
        <v>7.38</v>
      </c>
      <c r="O11" s="23">
        <v>15.63</v>
      </c>
      <c r="P11" s="23">
        <v>51.55</v>
      </c>
      <c r="Q11" s="23">
        <v>63.38</v>
      </c>
      <c r="R11" s="26">
        <v>0.39806111111111098</v>
      </c>
      <c r="S11" s="26">
        <v>1.2358166666666699</v>
      </c>
      <c r="T11" s="24">
        <v>148335.46592489601</v>
      </c>
      <c r="U11" s="23">
        <v>99.4</v>
      </c>
      <c r="V11" s="24">
        <v>2886</v>
      </c>
      <c r="W11" s="15"/>
      <c r="X11" s="27">
        <v>0.83799999999999997</v>
      </c>
      <c r="Y11" s="27">
        <v>0.879</v>
      </c>
      <c r="Z11" s="27">
        <v>0.88600000000000001</v>
      </c>
      <c r="AA11" s="27">
        <v>0.88400000000000001</v>
      </c>
      <c r="AB11" s="27">
        <v>0.876</v>
      </c>
      <c r="AC11" s="27">
        <v>0.89500000000000002</v>
      </c>
      <c r="AD11" s="27">
        <v>0.89300000000000002</v>
      </c>
      <c r="AE11" s="27">
        <v>0.88</v>
      </c>
      <c r="AF11" s="27">
        <v>0.874</v>
      </c>
      <c r="AG11" s="27">
        <v>0.83799999999999997</v>
      </c>
      <c r="AH11" s="27">
        <v>0.83199999999999996</v>
      </c>
      <c r="AI11" s="27">
        <v>0.82299999999999995</v>
      </c>
      <c r="AJ11" s="27">
        <v>0.83</v>
      </c>
      <c r="AK11" s="27">
        <v>0.83199999999999996</v>
      </c>
      <c r="AL11" s="27">
        <v>0.82899999999999996</v>
      </c>
      <c r="AM11" s="27">
        <v>0.82199999999999995</v>
      </c>
      <c r="AN11" s="27">
        <v>0.82699999999999996</v>
      </c>
      <c r="AO11" s="27">
        <v>0.82799999999999996</v>
      </c>
      <c r="AP11" s="27">
        <v>0.83</v>
      </c>
      <c r="AQ11" s="27">
        <v>0.83399999999999996</v>
      </c>
      <c r="AR11" s="27">
        <v>0.83599999999999997</v>
      </c>
      <c r="AS11" s="27">
        <v>0.82899999999999996</v>
      </c>
      <c r="AT11" s="27">
        <v>0.84</v>
      </c>
      <c r="AU11" s="27">
        <v>0.84199999999999997</v>
      </c>
      <c r="AV11" s="27">
        <v>0.88900000000000001</v>
      </c>
      <c r="AW11" s="27">
        <v>0.86</v>
      </c>
      <c r="AX11" s="27">
        <v>0.85699999999999998</v>
      </c>
      <c r="AY11" s="27">
        <v>0.84699999999999998</v>
      </c>
      <c r="AZ11" s="27">
        <v>0.84099999999999997</v>
      </c>
      <c r="BA11" s="27">
        <v>0.83599999999999997</v>
      </c>
      <c r="BB11" s="27">
        <v>0.84399999999999997</v>
      </c>
      <c r="BC11" s="27">
        <v>0.82799999999999996</v>
      </c>
      <c r="BD11" s="27">
        <v>0.83499999999999996</v>
      </c>
      <c r="BE11" s="27">
        <v>0.84199999999999997</v>
      </c>
      <c r="BF11" s="27">
        <v>0.83599999999999997</v>
      </c>
      <c r="BG11" s="27">
        <v>0.82499999999999996</v>
      </c>
      <c r="BH11" s="27">
        <v>0.83399999999999996</v>
      </c>
      <c r="BI11" s="27">
        <v>0.82099999999999995</v>
      </c>
      <c r="BJ11" s="27">
        <v>0.84</v>
      </c>
      <c r="BK11" s="27">
        <v>0.83099999999999996</v>
      </c>
      <c r="BL11" s="27">
        <v>0.68300000000000005</v>
      </c>
      <c r="BM11" s="27"/>
      <c r="BN11" s="27"/>
      <c r="BO11" s="27"/>
      <c r="BP11" s="27"/>
    </row>
    <row r="12" spans="1:68" x14ac:dyDescent="0.25">
      <c r="A12" s="22" t="s">
        <v>225</v>
      </c>
      <c r="B12" s="15">
        <v>2</v>
      </c>
      <c r="C12" s="22" t="s">
        <v>225</v>
      </c>
      <c r="D12" s="23">
        <v>39.770000000000003</v>
      </c>
      <c r="E12" s="24">
        <v>0</v>
      </c>
      <c r="F12" s="23">
        <v>4.92</v>
      </c>
      <c r="G12" s="23">
        <v>28.27</v>
      </c>
      <c r="H12" s="25">
        <v>172.86</v>
      </c>
      <c r="I12" s="23">
        <v>247.71</v>
      </c>
      <c r="J12" s="26">
        <v>0.83112777777777802</v>
      </c>
      <c r="K12" s="24">
        <v>99771.316745876393</v>
      </c>
      <c r="L12" s="24">
        <v>512</v>
      </c>
      <c r="M12" s="23">
        <v>3.1612</v>
      </c>
      <c r="N12" s="23">
        <v>7.17</v>
      </c>
      <c r="O12" s="23">
        <v>15.63</v>
      </c>
      <c r="P12" s="23">
        <v>51.96</v>
      </c>
      <c r="Q12" s="23">
        <v>63.58</v>
      </c>
      <c r="R12" s="26">
        <v>0.39254722222222199</v>
      </c>
      <c r="S12" s="26">
        <v>1.2236750000000001</v>
      </c>
      <c r="T12" s="24">
        <v>146883.75733855201</v>
      </c>
      <c r="U12" s="23">
        <v>99.5</v>
      </c>
      <c r="V12" s="24">
        <v>2889</v>
      </c>
      <c r="W12" s="15"/>
      <c r="X12" s="27">
        <v>0.80900000000000005</v>
      </c>
      <c r="Y12" s="27">
        <v>0.84099999999999997</v>
      </c>
      <c r="Z12" s="27">
        <v>0.84399999999999997</v>
      </c>
      <c r="AA12" s="27">
        <v>0.83299999999999996</v>
      </c>
      <c r="AB12" s="27">
        <v>0.81799999999999995</v>
      </c>
      <c r="AC12" s="27">
        <v>0.84699999999999998</v>
      </c>
      <c r="AD12" s="27">
        <v>0.82299999999999995</v>
      </c>
      <c r="AE12" s="27">
        <v>0.83599999999999997</v>
      </c>
      <c r="AF12" s="27">
        <v>0.82099999999999995</v>
      </c>
      <c r="AG12" s="27">
        <v>0.83199999999999996</v>
      </c>
      <c r="AH12" s="27">
        <v>0.83599999999999997</v>
      </c>
      <c r="AI12" s="27">
        <v>0.82699999999999996</v>
      </c>
      <c r="AJ12" s="27">
        <v>0.79700000000000004</v>
      </c>
      <c r="AK12" s="27">
        <v>0.82899999999999996</v>
      </c>
      <c r="AL12" s="27">
        <v>0.82299999999999995</v>
      </c>
      <c r="AM12" s="27">
        <v>0.83599999999999997</v>
      </c>
      <c r="AN12" s="27">
        <v>0.83099999999999996</v>
      </c>
      <c r="AO12" s="27">
        <v>0.83</v>
      </c>
      <c r="AP12" s="27">
        <v>0.84499999999999997</v>
      </c>
      <c r="AQ12" s="27">
        <v>0.83799999999999997</v>
      </c>
      <c r="AR12" s="27">
        <v>0.84099999999999997</v>
      </c>
      <c r="AS12" s="27">
        <v>0.83499999999999996</v>
      </c>
      <c r="AT12" s="27">
        <v>0.83799999999999997</v>
      </c>
      <c r="AU12" s="27">
        <v>0.84799999999999998</v>
      </c>
      <c r="AV12" s="27">
        <v>0.82099999999999995</v>
      </c>
      <c r="AW12" s="27">
        <v>0.82099999999999995</v>
      </c>
      <c r="AX12" s="27">
        <v>0.82799999999999996</v>
      </c>
      <c r="AY12" s="27">
        <v>0.83699999999999997</v>
      </c>
      <c r="AZ12" s="27">
        <v>0.83799999999999997</v>
      </c>
      <c r="BA12" s="27">
        <v>0.83199999999999996</v>
      </c>
      <c r="BB12" s="27">
        <v>0.84299999999999997</v>
      </c>
      <c r="BC12" s="27">
        <v>0.84099999999999997</v>
      </c>
      <c r="BD12" s="27">
        <v>0.83</v>
      </c>
      <c r="BE12" s="27">
        <v>0.82699999999999996</v>
      </c>
      <c r="BF12" s="27">
        <v>0.84199999999999997</v>
      </c>
      <c r="BG12" s="27">
        <v>0.84299999999999997</v>
      </c>
      <c r="BH12" s="27">
        <v>0.83199999999999996</v>
      </c>
      <c r="BI12" s="27">
        <v>0.83099999999999996</v>
      </c>
      <c r="BJ12" s="27">
        <v>0.82299999999999995</v>
      </c>
      <c r="BK12" s="27">
        <v>0.83699999999999997</v>
      </c>
      <c r="BL12" s="27">
        <v>0.78400000000000003</v>
      </c>
      <c r="BM12" s="27"/>
      <c r="BN12" s="27"/>
      <c r="BO12" s="27"/>
      <c r="BP12" s="27"/>
    </row>
    <row r="13" spans="1:68" x14ac:dyDescent="0.25">
      <c r="A13" s="22" t="s">
        <v>225</v>
      </c>
      <c r="B13" s="15">
        <v>3</v>
      </c>
      <c r="C13" s="22" t="s">
        <v>225</v>
      </c>
      <c r="D13" s="23">
        <v>39.75</v>
      </c>
      <c r="E13" s="24">
        <v>0</v>
      </c>
      <c r="F13" s="23">
        <v>5.0599999999999996</v>
      </c>
      <c r="G13" s="23">
        <v>28.16</v>
      </c>
      <c r="H13" s="25">
        <v>170.21</v>
      </c>
      <c r="I13" s="23">
        <v>247.44</v>
      </c>
      <c r="J13" s="26">
        <v>0.84803611111111099</v>
      </c>
      <c r="K13" s="24">
        <v>101827.958492994</v>
      </c>
      <c r="L13" s="24">
        <v>512</v>
      </c>
      <c r="M13" s="23">
        <v>3.0651000000000002</v>
      </c>
      <c r="N13" s="23">
        <v>7.39</v>
      </c>
      <c r="O13" s="23">
        <v>15.63</v>
      </c>
      <c r="P13" s="23">
        <v>51.65</v>
      </c>
      <c r="Q13" s="23">
        <v>63.48</v>
      </c>
      <c r="R13" s="26">
        <v>0.404402777777778</v>
      </c>
      <c r="S13" s="26">
        <v>1.25243888888889</v>
      </c>
      <c r="T13" s="24">
        <v>150382.848991693</v>
      </c>
      <c r="U13" s="23">
        <v>99.6</v>
      </c>
      <c r="V13" s="24">
        <v>2892</v>
      </c>
      <c r="W13" s="15"/>
      <c r="X13" s="27">
        <v>0.82199999999999995</v>
      </c>
      <c r="Y13" s="27">
        <v>0.83299999999999996</v>
      </c>
      <c r="Z13" s="27">
        <v>0.83</v>
      </c>
      <c r="AA13" s="27">
        <v>0.52600000000000002</v>
      </c>
      <c r="AB13" s="27">
        <v>0.80200000000000005</v>
      </c>
      <c r="AC13" s="27">
        <v>0.89</v>
      </c>
      <c r="AD13" s="27">
        <v>0.89</v>
      </c>
      <c r="AE13" s="27">
        <v>0.878</v>
      </c>
      <c r="AF13" s="27">
        <v>0.86899999999999999</v>
      </c>
      <c r="AG13" s="27">
        <v>0.871</v>
      </c>
      <c r="AH13" s="27">
        <v>0.873</v>
      </c>
      <c r="AI13" s="27">
        <v>0.878</v>
      </c>
      <c r="AJ13" s="27">
        <v>0.88800000000000001</v>
      </c>
      <c r="AK13" s="27">
        <v>0.874</v>
      </c>
      <c r="AL13" s="27">
        <v>0.86099999999999999</v>
      </c>
      <c r="AM13" s="27">
        <v>0.82899999999999996</v>
      </c>
      <c r="AN13" s="27">
        <v>0.82199999999999995</v>
      </c>
      <c r="AO13" s="27">
        <v>0.81799999999999995</v>
      </c>
      <c r="AP13" s="27">
        <v>0.84699999999999998</v>
      </c>
      <c r="AQ13" s="27">
        <v>0.84499999999999997</v>
      </c>
      <c r="AR13" s="27">
        <v>0.84299999999999997</v>
      </c>
      <c r="AS13" s="27">
        <v>0.83199999999999996</v>
      </c>
      <c r="AT13" s="27">
        <v>0.84299999999999997</v>
      </c>
      <c r="AU13" s="27">
        <v>0.83799999999999997</v>
      </c>
      <c r="AV13" s="27">
        <v>0.83099999999999996</v>
      </c>
      <c r="AW13" s="27">
        <v>0.83699999999999997</v>
      </c>
      <c r="AX13" s="27">
        <v>0.83199999999999996</v>
      </c>
      <c r="AY13" s="27">
        <v>0.81799999999999995</v>
      </c>
      <c r="AZ13" s="27">
        <v>0.84299999999999997</v>
      </c>
      <c r="BA13" s="27">
        <v>0.82599999999999996</v>
      </c>
      <c r="BB13" s="27">
        <v>0.92400000000000004</v>
      </c>
      <c r="BC13" s="27">
        <v>0.873</v>
      </c>
      <c r="BD13" s="27">
        <v>0.82699999999999996</v>
      </c>
      <c r="BE13" s="27">
        <v>0.83499999999999996</v>
      </c>
      <c r="BF13" s="27">
        <v>0.85099999999999998</v>
      </c>
      <c r="BG13" s="27">
        <v>0.84</v>
      </c>
      <c r="BH13" s="27">
        <v>0.83399999999999996</v>
      </c>
      <c r="BI13" s="27">
        <v>0.81899999999999995</v>
      </c>
      <c r="BJ13" s="27">
        <v>0.83599999999999997</v>
      </c>
      <c r="BK13" s="27">
        <v>0.84399999999999997</v>
      </c>
      <c r="BL13" s="27">
        <v>0.77100000000000002</v>
      </c>
      <c r="BM13" s="27"/>
      <c r="BN13" s="27"/>
      <c r="BO13" s="27"/>
      <c r="BP13" s="27"/>
    </row>
    <row r="14" spans="1:68" x14ac:dyDescent="0.25">
      <c r="A14" s="16" t="s">
        <v>226</v>
      </c>
      <c r="B14" s="12">
        <v>1</v>
      </c>
      <c r="C14" s="16" t="s">
        <v>226</v>
      </c>
      <c r="D14" s="17">
        <v>39.76</v>
      </c>
      <c r="E14" s="18">
        <v>0</v>
      </c>
      <c r="F14" s="17">
        <v>2.81</v>
      </c>
      <c r="G14" s="17">
        <v>30.79</v>
      </c>
      <c r="H14" s="19">
        <v>160.53</v>
      </c>
      <c r="I14" s="17">
        <v>246.48</v>
      </c>
      <c r="J14" s="20">
        <v>0.87359722222222203</v>
      </c>
      <c r="K14" s="18">
        <v>104896.18632220601</v>
      </c>
      <c r="L14" s="18">
        <v>512</v>
      </c>
      <c r="M14" s="17">
        <v>3.5648</v>
      </c>
      <c r="N14" s="17">
        <v>9.51</v>
      </c>
      <c r="O14" s="17">
        <v>17.899999999999999</v>
      </c>
      <c r="P14" s="17">
        <v>61.82</v>
      </c>
      <c r="Q14" s="17">
        <v>120.37</v>
      </c>
      <c r="R14" s="20">
        <v>0.51137222222222201</v>
      </c>
      <c r="S14" s="20">
        <v>1.38496944444444</v>
      </c>
      <c r="T14" s="18">
        <v>166334.172118772</v>
      </c>
      <c r="U14" s="17">
        <v>99.7</v>
      </c>
      <c r="V14" s="18">
        <v>2895</v>
      </c>
      <c r="W14" s="12"/>
      <c r="X14" s="21">
        <v>0.84199999999999997</v>
      </c>
      <c r="Y14" s="21">
        <v>0.85499999999999998</v>
      </c>
      <c r="Z14" s="21">
        <v>0.85499999999999998</v>
      </c>
      <c r="AA14" s="21">
        <v>0.85</v>
      </c>
      <c r="AB14" s="21">
        <v>0.84399999999999997</v>
      </c>
      <c r="AC14" s="21">
        <v>0.82799999999999996</v>
      </c>
      <c r="AD14" s="21">
        <v>0.85599999999999998</v>
      </c>
      <c r="AE14" s="21">
        <v>0.83899999999999997</v>
      </c>
      <c r="AF14" s="21">
        <v>0.83699999999999997</v>
      </c>
      <c r="AG14" s="21">
        <v>0.83099999999999996</v>
      </c>
      <c r="AH14" s="21">
        <v>0.82199999999999995</v>
      </c>
      <c r="AI14" s="21">
        <v>0.84899999999999998</v>
      </c>
      <c r="AJ14" s="21">
        <v>0.82</v>
      </c>
      <c r="AK14" s="21">
        <v>0.81200000000000006</v>
      </c>
      <c r="AL14" s="21">
        <v>0.84799999999999998</v>
      </c>
      <c r="AM14" s="21">
        <v>0.81599999999999995</v>
      </c>
      <c r="AN14" s="21">
        <v>0.82199999999999995</v>
      </c>
      <c r="AO14" s="21">
        <v>0.85499999999999998</v>
      </c>
      <c r="AP14" s="21">
        <v>1.137</v>
      </c>
      <c r="AQ14" s="21">
        <v>1.046</v>
      </c>
      <c r="AR14" s="21">
        <v>0.96</v>
      </c>
      <c r="AS14" s="21">
        <v>0.95799999999999996</v>
      </c>
      <c r="AT14" s="21">
        <v>0.97499999999999998</v>
      </c>
      <c r="AU14" s="21">
        <v>0.91</v>
      </c>
      <c r="AV14" s="21">
        <v>0.92800000000000005</v>
      </c>
      <c r="AW14" s="21">
        <v>0.93</v>
      </c>
      <c r="AX14" s="21">
        <v>0.94799999999999995</v>
      </c>
      <c r="AY14" s="21">
        <v>0.86199999999999999</v>
      </c>
      <c r="AZ14" s="21">
        <v>0.85199999999999998</v>
      </c>
      <c r="BA14" s="21">
        <v>0.83699999999999997</v>
      </c>
      <c r="BB14" s="21">
        <v>0.86499999999999999</v>
      </c>
      <c r="BC14" s="21">
        <v>0.84199999999999997</v>
      </c>
      <c r="BD14" s="21">
        <v>0.84</v>
      </c>
      <c r="BE14" s="21">
        <v>0.82799999999999996</v>
      </c>
      <c r="BF14" s="21">
        <v>0.84799999999999998</v>
      </c>
      <c r="BG14" s="21">
        <v>0.85799999999999998</v>
      </c>
      <c r="BH14" s="21">
        <v>0.83499999999999996</v>
      </c>
      <c r="BI14" s="21">
        <v>0.84099999999999997</v>
      </c>
      <c r="BJ14" s="21">
        <v>0.87</v>
      </c>
      <c r="BK14" s="21">
        <v>0.85399999999999998</v>
      </c>
      <c r="BL14" s="21">
        <v>0.79100000000000004</v>
      </c>
      <c r="BM14" s="21"/>
      <c r="BN14" s="21"/>
      <c r="BO14" s="21"/>
      <c r="BP14" s="21"/>
    </row>
    <row r="15" spans="1:68" x14ac:dyDescent="0.25">
      <c r="A15" s="16" t="s">
        <v>226</v>
      </c>
      <c r="B15" s="12">
        <v>2</v>
      </c>
      <c r="C15" s="16" t="s">
        <v>226</v>
      </c>
      <c r="D15" s="17">
        <v>39.75</v>
      </c>
      <c r="E15" s="18">
        <v>0</v>
      </c>
      <c r="F15" s="17">
        <v>2.89</v>
      </c>
      <c r="G15" s="17">
        <v>29.85</v>
      </c>
      <c r="H15" s="19">
        <v>179.25</v>
      </c>
      <c r="I15" s="17">
        <v>248.33</v>
      </c>
      <c r="J15" s="20">
        <v>0.83776666666666699</v>
      </c>
      <c r="K15" s="18">
        <v>100560.51026688299</v>
      </c>
      <c r="L15" s="18">
        <v>256</v>
      </c>
      <c r="M15" s="17">
        <v>3.5326</v>
      </c>
      <c r="N15" s="17">
        <v>9.4</v>
      </c>
      <c r="O15" s="17">
        <v>15.92</v>
      </c>
      <c r="P15" s="17">
        <v>51.67</v>
      </c>
      <c r="Q15" s="17">
        <v>62.94</v>
      </c>
      <c r="R15" s="20">
        <v>0.44813333333333299</v>
      </c>
      <c r="S15" s="20">
        <v>1.2859</v>
      </c>
      <c r="T15" s="18">
        <v>154348.45856879099</v>
      </c>
      <c r="U15" s="17">
        <v>99.6</v>
      </c>
      <c r="V15" s="18">
        <v>2893</v>
      </c>
      <c r="W15" s="12"/>
      <c r="X15" s="21">
        <v>0.82799999999999996</v>
      </c>
      <c r="Y15" s="21">
        <v>0.84699999999999998</v>
      </c>
      <c r="Z15" s="21">
        <v>0.85499999999999998</v>
      </c>
      <c r="AA15" s="21">
        <v>0.84299999999999997</v>
      </c>
      <c r="AB15" s="21">
        <v>0.84799999999999998</v>
      </c>
      <c r="AC15" s="21">
        <v>0.84499999999999997</v>
      </c>
      <c r="AD15" s="21">
        <v>0.83799999999999997</v>
      </c>
      <c r="AE15" s="21">
        <v>0.85599999999999998</v>
      </c>
      <c r="AF15" s="21">
        <v>0.83499999999999996</v>
      </c>
      <c r="AG15" s="21">
        <v>0.83099999999999996</v>
      </c>
      <c r="AH15" s="21">
        <v>0.85</v>
      </c>
      <c r="AI15" s="21">
        <v>0.82699999999999996</v>
      </c>
      <c r="AJ15" s="21">
        <v>0.83799999999999997</v>
      </c>
      <c r="AK15" s="21">
        <v>0.86099999999999999</v>
      </c>
      <c r="AL15" s="21">
        <v>0.84499999999999997</v>
      </c>
      <c r="AM15" s="21">
        <v>0.86699999999999999</v>
      </c>
      <c r="AN15" s="21">
        <v>0.48399999999999999</v>
      </c>
      <c r="AO15" s="21">
        <v>0.60199999999999998</v>
      </c>
      <c r="AP15" s="21">
        <v>0.89200000000000002</v>
      </c>
      <c r="AQ15" s="21">
        <v>0.879</v>
      </c>
      <c r="AR15" s="21">
        <v>0.871</v>
      </c>
      <c r="AS15" s="21">
        <v>0.86799999999999999</v>
      </c>
      <c r="AT15" s="21">
        <v>0.875</v>
      </c>
      <c r="AU15" s="21">
        <v>0.873</v>
      </c>
      <c r="AV15" s="21">
        <v>0.88</v>
      </c>
      <c r="AW15" s="21">
        <v>0.86899999999999999</v>
      </c>
      <c r="AX15" s="21">
        <v>0.88500000000000001</v>
      </c>
      <c r="AY15" s="21">
        <v>0.88500000000000001</v>
      </c>
      <c r="AZ15" s="21">
        <v>0.85099999999999998</v>
      </c>
      <c r="BA15" s="21">
        <v>0.85499999999999998</v>
      </c>
      <c r="BB15" s="21">
        <v>0.84299999999999997</v>
      </c>
      <c r="BC15" s="21">
        <v>0.86099999999999999</v>
      </c>
      <c r="BD15" s="21">
        <v>0.84799999999999998</v>
      </c>
      <c r="BE15" s="21">
        <v>0.85599999999999998</v>
      </c>
      <c r="BF15" s="21">
        <v>0.85899999999999999</v>
      </c>
      <c r="BG15" s="21">
        <v>0.84499999999999997</v>
      </c>
      <c r="BH15" s="21">
        <v>0.83199999999999996</v>
      </c>
      <c r="BI15" s="21">
        <v>0.84499999999999997</v>
      </c>
      <c r="BJ15" s="21">
        <v>0.84599999999999997</v>
      </c>
      <c r="BK15" s="21">
        <v>0.85899999999999999</v>
      </c>
      <c r="BL15" s="21">
        <v>0.80400000000000005</v>
      </c>
      <c r="BM15" s="21"/>
      <c r="BN15" s="21"/>
      <c r="BO15" s="21"/>
      <c r="BP15" s="21"/>
    </row>
    <row r="16" spans="1:68" x14ac:dyDescent="0.25">
      <c r="A16" s="16" t="s">
        <v>226</v>
      </c>
      <c r="B16" s="12">
        <v>3</v>
      </c>
      <c r="C16" s="16" t="s">
        <v>226</v>
      </c>
      <c r="D16" s="17">
        <v>39.79</v>
      </c>
      <c r="E16" s="18">
        <v>0</v>
      </c>
      <c r="F16" s="17">
        <v>2.66</v>
      </c>
      <c r="G16" s="17">
        <v>30.08</v>
      </c>
      <c r="H16" s="19">
        <v>180.4</v>
      </c>
      <c r="I16" s="17">
        <v>248.46</v>
      </c>
      <c r="J16" s="20">
        <v>0.84450277777777805</v>
      </c>
      <c r="K16" s="18">
        <v>101385.43879262199</v>
      </c>
      <c r="L16" s="18">
        <v>2097152</v>
      </c>
      <c r="M16" s="17">
        <v>3.7077</v>
      </c>
      <c r="N16" s="17">
        <v>9.44</v>
      </c>
      <c r="O16" s="17">
        <v>15.95</v>
      </c>
      <c r="P16" s="17">
        <v>52.36</v>
      </c>
      <c r="Q16" s="17">
        <v>62.94</v>
      </c>
      <c r="R16" s="20">
        <v>0.44990833333333302</v>
      </c>
      <c r="S16" s="20">
        <v>1.2944111111111101</v>
      </c>
      <c r="T16" s="18">
        <v>155400.86640581299</v>
      </c>
      <c r="U16" s="17">
        <v>99.6</v>
      </c>
      <c r="V16" s="18">
        <v>2892</v>
      </c>
      <c r="W16" s="12"/>
      <c r="X16" s="21">
        <v>0.93899999999999995</v>
      </c>
      <c r="Y16" s="21">
        <v>0.85</v>
      </c>
      <c r="Z16" s="21">
        <v>0.84599999999999997</v>
      </c>
      <c r="AA16" s="21">
        <v>0.84899999999999998</v>
      </c>
      <c r="AB16" s="21">
        <v>0.85599999999999998</v>
      </c>
      <c r="AC16" s="21">
        <v>0.85399999999999998</v>
      </c>
      <c r="AD16" s="21">
        <v>0.84499999999999997</v>
      </c>
      <c r="AE16" s="21">
        <v>0.85799999999999998</v>
      </c>
      <c r="AF16" s="21">
        <v>0.83299999999999996</v>
      </c>
      <c r="AG16" s="21">
        <v>0.83899999999999997</v>
      </c>
      <c r="AH16" s="21">
        <v>0.85</v>
      </c>
      <c r="AI16" s="21">
        <v>0.84199999999999997</v>
      </c>
      <c r="AJ16" s="21">
        <v>0.85899999999999999</v>
      </c>
      <c r="AK16" s="21">
        <v>0.83799999999999997</v>
      </c>
      <c r="AL16" s="21">
        <v>0.83899999999999997</v>
      </c>
      <c r="AM16" s="21">
        <v>0.84899999999999998</v>
      </c>
      <c r="AN16" s="21">
        <v>0.82199999999999995</v>
      </c>
      <c r="AO16" s="21">
        <v>0.85599999999999998</v>
      </c>
      <c r="AP16" s="21">
        <v>0.85399999999999998</v>
      </c>
      <c r="AQ16" s="21">
        <v>0.83199999999999996</v>
      </c>
      <c r="AR16" s="21">
        <v>0.85699999999999998</v>
      </c>
      <c r="AS16" s="21">
        <v>0.84399999999999997</v>
      </c>
      <c r="AT16" s="21">
        <v>0.86</v>
      </c>
      <c r="AU16" s="21">
        <v>0.86299999999999999</v>
      </c>
      <c r="AV16" s="21">
        <v>0.85499999999999998</v>
      </c>
      <c r="AW16" s="21">
        <v>0.84399999999999997</v>
      </c>
      <c r="AX16" s="21">
        <v>0.84499999999999997</v>
      </c>
      <c r="AY16" s="21">
        <v>0.84</v>
      </c>
      <c r="AZ16" s="21">
        <v>0.85399999999999998</v>
      </c>
      <c r="BA16" s="21">
        <v>0.82</v>
      </c>
      <c r="BB16" s="21">
        <v>0.85299999999999998</v>
      </c>
      <c r="BC16" s="21">
        <v>0.85399999999999998</v>
      </c>
      <c r="BD16" s="21">
        <v>0.84899999999999998</v>
      </c>
      <c r="BE16" s="21">
        <v>0.84899999999999998</v>
      </c>
      <c r="BF16" s="21">
        <v>0.84199999999999997</v>
      </c>
      <c r="BG16" s="21">
        <v>0.83699999999999997</v>
      </c>
      <c r="BH16" s="21">
        <v>0.85399999999999998</v>
      </c>
      <c r="BI16" s="21">
        <v>0.84199999999999997</v>
      </c>
      <c r="BJ16" s="21">
        <v>0.84799999999999998</v>
      </c>
      <c r="BK16" s="21">
        <v>0.84099999999999997</v>
      </c>
      <c r="BL16" s="21">
        <v>0.78300000000000003</v>
      </c>
      <c r="BM16" s="21"/>
      <c r="BN16" s="21"/>
      <c r="BO16" s="21"/>
      <c r="BP16" s="21"/>
    </row>
    <row r="17" spans="1:68" x14ac:dyDescent="0.25">
      <c r="A17" s="22" t="s">
        <v>227</v>
      </c>
      <c r="B17" s="15">
        <v>1</v>
      </c>
      <c r="C17" s="22" t="s">
        <v>227</v>
      </c>
      <c r="D17" s="23">
        <v>39.799999999999997</v>
      </c>
      <c r="E17" s="24">
        <v>0</v>
      </c>
      <c r="F17" s="23">
        <v>4.88</v>
      </c>
      <c r="G17" s="23">
        <v>29.7</v>
      </c>
      <c r="H17" s="25">
        <v>172.19</v>
      </c>
      <c r="I17" s="23">
        <v>247.64</v>
      </c>
      <c r="J17" s="26">
        <v>0.87568918918918903</v>
      </c>
      <c r="K17" s="24">
        <v>107956.379286408</v>
      </c>
      <c r="L17" s="24">
        <v>512</v>
      </c>
      <c r="M17" s="23">
        <v>3.4617</v>
      </c>
      <c r="N17" s="23">
        <v>9.49</v>
      </c>
      <c r="O17" s="23">
        <v>15.91</v>
      </c>
      <c r="P17" s="23">
        <v>51.09</v>
      </c>
      <c r="Q17" s="23">
        <v>62.81</v>
      </c>
      <c r="R17" s="26">
        <v>0.44134864864864898</v>
      </c>
      <c r="S17" s="26">
        <v>1.31703783783784</v>
      </c>
      <c r="T17" s="24">
        <v>162366.26405664301</v>
      </c>
      <c r="U17" s="23">
        <v>99.6</v>
      </c>
      <c r="V17" s="24">
        <v>2892</v>
      </c>
      <c r="W17" s="15"/>
      <c r="X17" s="27">
        <v>0.89200000000000002</v>
      </c>
      <c r="Y17" s="27">
        <v>0.89100000000000001</v>
      </c>
      <c r="Z17" s="27">
        <v>0.89700000000000002</v>
      </c>
      <c r="AA17" s="27">
        <v>0.89800000000000002</v>
      </c>
      <c r="AB17" s="27">
        <v>0.88600000000000001</v>
      </c>
      <c r="AC17" s="27">
        <v>0.89900000000000002</v>
      </c>
      <c r="AD17" s="27">
        <v>0.89300000000000002</v>
      </c>
      <c r="AE17" s="27">
        <v>0.89900000000000002</v>
      </c>
      <c r="AF17" s="27">
        <v>0.88700000000000001</v>
      </c>
      <c r="AG17" s="27">
        <v>0.89600000000000002</v>
      </c>
      <c r="AH17" s="27">
        <v>0.89500000000000002</v>
      </c>
      <c r="AI17" s="27">
        <v>0.90100000000000002</v>
      </c>
      <c r="AJ17" s="27">
        <v>0.9</v>
      </c>
      <c r="AK17" s="27">
        <v>0.90300000000000002</v>
      </c>
      <c r="AL17" s="27">
        <v>0.89100000000000001</v>
      </c>
      <c r="AM17" s="27">
        <v>0.88400000000000001</v>
      </c>
      <c r="AN17" s="27">
        <v>0.88900000000000001</v>
      </c>
      <c r="AO17" s="27">
        <v>1.0189999999999999</v>
      </c>
      <c r="AP17" s="27">
        <v>0.93300000000000005</v>
      </c>
      <c r="AQ17" s="27">
        <v>0.90200000000000002</v>
      </c>
      <c r="AR17" s="27">
        <v>0.88900000000000001</v>
      </c>
      <c r="AS17" s="27">
        <v>0.9</v>
      </c>
      <c r="AT17" s="27">
        <v>0.90600000000000003</v>
      </c>
      <c r="AU17" s="27">
        <v>0.9</v>
      </c>
      <c r="AV17" s="27">
        <v>0.89300000000000002</v>
      </c>
      <c r="AW17" s="27">
        <v>0.91500000000000004</v>
      </c>
      <c r="AX17" s="27">
        <v>0.90600000000000003</v>
      </c>
      <c r="AY17" s="27">
        <v>0.89700000000000002</v>
      </c>
      <c r="AZ17" s="27">
        <v>0.88600000000000001</v>
      </c>
      <c r="BA17" s="27">
        <v>0.91300000000000003</v>
      </c>
      <c r="BB17" s="27">
        <v>0.90200000000000002</v>
      </c>
      <c r="BC17" s="27">
        <v>0.89700000000000002</v>
      </c>
      <c r="BD17" s="27">
        <v>0.89200000000000002</v>
      </c>
      <c r="BE17" s="27">
        <v>0.89100000000000001</v>
      </c>
      <c r="BF17" s="27">
        <v>0.9</v>
      </c>
      <c r="BG17" s="27">
        <v>0.89400000000000002</v>
      </c>
      <c r="BH17" s="27">
        <v>0.89400000000000002</v>
      </c>
      <c r="BI17" s="27">
        <v>0.89800000000000002</v>
      </c>
      <c r="BJ17" s="27">
        <v>0.88900000000000001</v>
      </c>
      <c r="BK17" s="27">
        <v>0.90100000000000002</v>
      </c>
      <c r="BL17" s="27">
        <v>0.84599999999999997</v>
      </c>
      <c r="BM17" s="27">
        <v>0</v>
      </c>
      <c r="BN17" s="27"/>
      <c r="BO17" s="27"/>
      <c r="BP17" s="27"/>
    </row>
    <row r="18" spans="1:68" x14ac:dyDescent="0.25">
      <c r="A18" s="22" t="s">
        <v>227</v>
      </c>
      <c r="B18" s="15">
        <v>2</v>
      </c>
      <c r="C18" s="22" t="s">
        <v>227</v>
      </c>
      <c r="D18" s="23">
        <v>39.82</v>
      </c>
      <c r="E18" s="24">
        <v>0</v>
      </c>
      <c r="F18" s="23">
        <v>5.0199999999999996</v>
      </c>
      <c r="G18" s="23">
        <v>29.44</v>
      </c>
      <c r="H18" s="25">
        <v>172.43</v>
      </c>
      <c r="I18" s="23">
        <v>247.66</v>
      </c>
      <c r="J18" s="26">
        <v>0.885462162162162</v>
      </c>
      <c r="K18" s="24">
        <v>107080.69874314799</v>
      </c>
      <c r="L18" s="24">
        <v>512</v>
      </c>
      <c r="M18" s="23">
        <v>3.3652000000000002</v>
      </c>
      <c r="N18" s="23">
        <v>9.5500000000000007</v>
      </c>
      <c r="O18" s="23">
        <v>15.95</v>
      </c>
      <c r="P18" s="23">
        <v>51.39</v>
      </c>
      <c r="Q18" s="23">
        <v>62.81</v>
      </c>
      <c r="R18" s="26">
        <v>0.444813513513513</v>
      </c>
      <c r="S18" s="26">
        <v>1.3302756756756799</v>
      </c>
      <c r="T18" s="24">
        <v>160870.079176125</v>
      </c>
      <c r="U18" s="23">
        <v>99.5</v>
      </c>
      <c r="V18" s="24">
        <v>2890</v>
      </c>
      <c r="W18" s="15"/>
      <c r="X18" s="27">
        <v>0.75</v>
      </c>
      <c r="Y18" s="27">
        <v>0.89900000000000002</v>
      </c>
      <c r="Z18" s="27">
        <v>0.90400000000000003</v>
      </c>
      <c r="AA18" s="27">
        <v>0.89</v>
      </c>
      <c r="AB18" s="27">
        <v>0.88200000000000001</v>
      </c>
      <c r="AC18" s="27">
        <v>0.90400000000000003</v>
      </c>
      <c r="AD18" s="27">
        <v>0.89700000000000002</v>
      </c>
      <c r="AE18" s="27">
        <v>0.89600000000000002</v>
      </c>
      <c r="AF18" s="27">
        <v>0.87</v>
      </c>
      <c r="AG18" s="27">
        <v>0.90900000000000003</v>
      </c>
      <c r="AH18" s="27">
        <v>0.89600000000000002</v>
      </c>
      <c r="AI18" s="27">
        <v>0.90400000000000003</v>
      </c>
      <c r="AJ18" s="27">
        <v>0.88900000000000001</v>
      </c>
      <c r="AK18" s="27">
        <v>0.88200000000000001</v>
      </c>
      <c r="AL18" s="27">
        <v>0.89600000000000002</v>
      </c>
      <c r="AM18" s="27">
        <v>0.90600000000000003</v>
      </c>
      <c r="AN18" s="27">
        <v>0.88600000000000001</v>
      </c>
      <c r="AO18" s="27">
        <v>0.89500000000000002</v>
      </c>
      <c r="AP18" s="27">
        <v>0.91200000000000003</v>
      </c>
      <c r="AQ18" s="27">
        <v>0.90700000000000003</v>
      </c>
      <c r="AR18" s="27">
        <v>0.96099999999999997</v>
      </c>
      <c r="AS18" s="27">
        <v>0.90500000000000003</v>
      </c>
      <c r="AT18" s="27">
        <v>0.90100000000000002</v>
      </c>
      <c r="AU18" s="27">
        <v>0.89400000000000002</v>
      </c>
      <c r="AV18" s="27">
        <v>0.88100000000000001</v>
      </c>
      <c r="AW18" s="27">
        <v>0.89200000000000002</v>
      </c>
      <c r="AX18" s="27">
        <v>0.89800000000000002</v>
      </c>
      <c r="AY18" s="27">
        <v>0.88</v>
      </c>
      <c r="AZ18" s="27">
        <v>0.89600000000000002</v>
      </c>
      <c r="BA18" s="27">
        <v>0.89500000000000002</v>
      </c>
      <c r="BB18" s="27">
        <v>0.86099999999999999</v>
      </c>
      <c r="BC18" s="27">
        <v>0.88800000000000001</v>
      </c>
      <c r="BD18" s="27">
        <v>0.88300000000000001</v>
      </c>
      <c r="BE18" s="27">
        <v>0.89300000000000002</v>
      </c>
      <c r="BF18" s="27">
        <v>0.90800000000000003</v>
      </c>
      <c r="BG18" s="27">
        <v>0.877</v>
      </c>
      <c r="BH18" s="27">
        <v>0.89400000000000002</v>
      </c>
      <c r="BI18" s="27">
        <v>0.89900000000000002</v>
      </c>
      <c r="BJ18" s="27">
        <v>0.879</v>
      </c>
      <c r="BK18" s="27">
        <v>0.88600000000000001</v>
      </c>
      <c r="BL18" s="27">
        <v>0.83699999999999997</v>
      </c>
      <c r="BM18" s="27">
        <v>0.60299999999999998</v>
      </c>
      <c r="BN18" s="27"/>
      <c r="BO18" s="27"/>
      <c r="BP18" s="27"/>
    </row>
    <row r="19" spans="1:68" x14ac:dyDescent="0.25">
      <c r="A19" s="22" t="s">
        <v>227</v>
      </c>
      <c r="B19" s="15">
        <v>3</v>
      </c>
      <c r="C19" s="22" t="s">
        <v>227</v>
      </c>
      <c r="D19" s="23">
        <v>39.79</v>
      </c>
      <c r="E19" s="24">
        <v>0</v>
      </c>
      <c r="F19" s="23">
        <v>5.13</v>
      </c>
      <c r="G19" s="23">
        <v>29.38</v>
      </c>
      <c r="H19" s="25">
        <v>176.78</v>
      </c>
      <c r="I19" s="23">
        <v>248.12</v>
      </c>
      <c r="J19" s="26">
        <v>0.88481388888888901</v>
      </c>
      <c r="K19" s="24">
        <v>106179.989441805</v>
      </c>
      <c r="L19" s="24">
        <v>512</v>
      </c>
      <c r="M19" s="23">
        <v>3.2930999999999999</v>
      </c>
      <c r="N19" s="23">
        <v>9.4</v>
      </c>
      <c r="O19" s="23">
        <v>15.96</v>
      </c>
      <c r="P19" s="23">
        <v>51.75</v>
      </c>
      <c r="Q19" s="23">
        <v>62.92</v>
      </c>
      <c r="R19" s="26">
        <v>0.44068055555555602</v>
      </c>
      <c r="S19" s="26">
        <v>1.3254944444444401</v>
      </c>
      <c r="T19" s="24">
        <v>159061.32088577701</v>
      </c>
      <c r="U19" s="23">
        <v>99.3</v>
      </c>
      <c r="V19" s="24">
        <v>2885</v>
      </c>
      <c r="W19" s="15"/>
      <c r="X19" s="27">
        <v>0.86499999999999999</v>
      </c>
      <c r="Y19" s="27">
        <v>0.89600000000000002</v>
      </c>
      <c r="Z19" s="27">
        <v>0.89400000000000002</v>
      </c>
      <c r="AA19" s="27">
        <v>0.89600000000000002</v>
      </c>
      <c r="AB19" s="27">
        <v>0.88700000000000001</v>
      </c>
      <c r="AC19" s="27">
        <v>0.89800000000000002</v>
      </c>
      <c r="AD19" s="27">
        <v>0.89400000000000002</v>
      </c>
      <c r="AE19" s="27">
        <v>0.88600000000000001</v>
      </c>
      <c r="AF19" s="27">
        <v>0.88400000000000001</v>
      </c>
      <c r="AG19" s="27">
        <v>0.89200000000000002</v>
      </c>
      <c r="AH19" s="27">
        <v>0.90900000000000003</v>
      </c>
      <c r="AI19" s="27">
        <v>0.88900000000000001</v>
      </c>
      <c r="AJ19" s="27">
        <v>0.877</v>
      </c>
      <c r="AK19" s="27">
        <v>0.90700000000000003</v>
      </c>
      <c r="AL19" s="27">
        <v>0.89400000000000002</v>
      </c>
      <c r="AM19" s="27">
        <v>0.89</v>
      </c>
      <c r="AN19" s="27">
        <v>0.88400000000000001</v>
      </c>
      <c r="AO19" s="27">
        <v>0.89500000000000002</v>
      </c>
      <c r="AP19" s="27">
        <v>0.89800000000000002</v>
      </c>
      <c r="AQ19" s="27">
        <v>0.89400000000000002</v>
      </c>
      <c r="AR19" s="27">
        <v>0.88400000000000001</v>
      </c>
      <c r="AS19" s="27">
        <v>0.89800000000000002</v>
      </c>
      <c r="AT19" s="27">
        <v>0.86099999999999999</v>
      </c>
      <c r="AU19" s="27">
        <v>0.89400000000000002</v>
      </c>
      <c r="AV19" s="27">
        <v>0.872</v>
      </c>
      <c r="AW19" s="27">
        <v>0.89500000000000002</v>
      </c>
      <c r="AX19" s="27">
        <v>0.876</v>
      </c>
      <c r="AY19" s="27">
        <v>0.89600000000000002</v>
      </c>
      <c r="AZ19" s="27">
        <v>0.86899999999999999</v>
      </c>
      <c r="BA19" s="27">
        <v>0.879</v>
      </c>
      <c r="BB19" s="27">
        <v>0.88500000000000001</v>
      </c>
      <c r="BC19" s="27">
        <v>0.875</v>
      </c>
      <c r="BD19" s="27">
        <v>0.86899999999999999</v>
      </c>
      <c r="BE19" s="27">
        <v>0.87</v>
      </c>
      <c r="BF19" s="27">
        <v>0.89200000000000002</v>
      </c>
      <c r="BG19" s="27">
        <v>0.89400000000000002</v>
      </c>
      <c r="BH19" s="27">
        <v>0.872</v>
      </c>
      <c r="BI19" s="27">
        <v>0.88</v>
      </c>
      <c r="BJ19" s="27">
        <v>0.88800000000000001</v>
      </c>
      <c r="BK19" s="27">
        <v>0.89</v>
      </c>
      <c r="BL19" s="27">
        <v>0.82</v>
      </c>
      <c r="BM19" s="27"/>
      <c r="BN19" s="27"/>
      <c r="BO19" s="27"/>
      <c r="BP19" s="27"/>
    </row>
    <row r="20" spans="1:68" x14ac:dyDescent="0.25">
      <c r="A20" s="16" t="s">
        <v>228</v>
      </c>
      <c r="B20" s="12">
        <v>1</v>
      </c>
      <c r="C20" s="16" t="s">
        <v>228</v>
      </c>
      <c r="D20" s="17">
        <v>39.799999999999997</v>
      </c>
      <c r="E20" s="18">
        <v>0</v>
      </c>
      <c r="F20" s="17">
        <v>3.13</v>
      </c>
      <c r="G20" s="17">
        <v>30.07</v>
      </c>
      <c r="H20" s="19">
        <v>183.37</v>
      </c>
      <c r="I20" s="17">
        <v>248.74</v>
      </c>
      <c r="J20" s="20">
        <v>0.82857222222222204</v>
      </c>
      <c r="K20" s="18">
        <v>99457.252802409203</v>
      </c>
      <c r="L20" s="18">
        <v>256</v>
      </c>
      <c r="M20" s="17">
        <v>3.7151999999999998</v>
      </c>
      <c r="N20" s="17">
        <v>9.19</v>
      </c>
      <c r="O20" s="17">
        <v>16.260000000000002</v>
      </c>
      <c r="P20" s="17">
        <v>53.09</v>
      </c>
      <c r="Q20" s="17">
        <v>63.06</v>
      </c>
      <c r="R20" s="20">
        <v>0.43525555555555601</v>
      </c>
      <c r="S20" s="20">
        <v>1.26382777777778</v>
      </c>
      <c r="T20" s="18">
        <v>151702.693659026</v>
      </c>
      <c r="U20" s="17">
        <v>99.3</v>
      </c>
      <c r="V20" s="18">
        <v>2885</v>
      </c>
      <c r="W20" s="12"/>
      <c r="X20" s="21">
        <v>0.82599999999999996</v>
      </c>
      <c r="Y20" s="21">
        <v>0.84699999999999998</v>
      </c>
      <c r="Z20" s="21">
        <v>0.84499999999999997</v>
      </c>
      <c r="AA20" s="21">
        <v>0.83</v>
      </c>
      <c r="AB20" s="21">
        <v>0.82599999999999996</v>
      </c>
      <c r="AC20" s="21">
        <v>0.82699999999999996</v>
      </c>
      <c r="AD20" s="21">
        <v>0.79700000000000004</v>
      </c>
      <c r="AE20" s="21">
        <v>0.80700000000000005</v>
      </c>
      <c r="AF20" s="21">
        <v>0.79700000000000004</v>
      </c>
      <c r="AG20" s="21">
        <v>0.81899999999999995</v>
      </c>
      <c r="AH20" s="21">
        <v>0.82199999999999995</v>
      </c>
      <c r="AI20" s="21">
        <v>0.82299999999999995</v>
      </c>
      <c r="AJ20" s="21">
        <v>0.80300000000000005</v>
      </c>
      <c r="AK20" s="21">
        <v>0.80900000000000005</v>
      </c>
      <c r="AL20" s="21">
        <v>0.81399999999999995</v>
      </c>
      <c r="AM20" s="21">
        <v>0.81499999999999995</v>
      </c>
      <c r="AN20" s="21">
        <v>0.81200000000000006</v>
      </c>
      <c r="AO20" s="21">
        <v>0.82499999999999996</v>
      </c>
      <c r="AP20" s="21">
        <v>0.84799999999999998</v>
      </c>
      <c r="AQ20" s="21">
        <v>0.84099999999999997</v>
      </c>
      <c r="AR20" s="21">
        <v>0.83699999999999997</v>
      </c>
      <c r="AS20" s="21">
        <v>0.84799999999999998</v>
      </c>
      <c r="AT20" s="21">
        <v>0.84199999999999997</v>
      </c>
      <c r="AU20" s="21">
        <v>0.84899999999999998</v>
      </c>
      <c r="AV20" s="21">
        <v>0.81399999999999995</v>
      </c>
      <c r="AW20" s="21">
        <v>0.81899999999999995</v>
      </c>
      <c r="AX20" s="21">
        <v>0.82799999999999996</v>
      </c>
      <c r="AY20" s="21">
        <v>0.85399999999999998</v>
      </c>
      <c r="AZ20" s="21">
        <v>0.83399999999999996</v>
      </c>
      <c r="BA20" s="21">
        <v>0.82599999999999996</v>
      </c>
      <c r="BB20" s="21">
        <v>0.85199999999999998</v>
      </c>
      <c r="BC20" s="21">
        <v>0.85299999999999998</v>
      </c>
      <c r="BD20" s="21">
        <v>0.84599999999999997</v>
      </c>
      <c r="BE20" s="21">
        <v>0.84199999999999997</v>
      </c>
      <c r="BF20" s="21">
        <v>0.84799999999999998</v>
      </c>
      <c r="BG20" s="21">
        <v>0.84299999999999997</v>
      </c>
      <c r="BH20" s="21">
        <v>0.85799999999999998</v>
      </c>
      <c r="BI20" s="21">
        <v>0.83799999999999997</v>
      </c>
      <c r="BJ20" s="21">
        <v>0.82799999999999996</v>
      </c>
      <c r="BK20" s="21">
        <v>0.84399999999999997</v>
      </c>
      <c r="BL20" s="21">
        <v>0.76600000000000001</v>
      </c>
      <c r="BM20" s="21"/>
      <c r="BN20" s="21"/>
      <c r="BO20" s="21"/>
      <c r="BP20" s="21"/>
    </row>
    <row r="21" spans="1:68" x14ac:dyDescent="0.25">
      <c r="A21" s="16" t="s">
        <v>228</v>
      </c>
      <c r="B21" s="12">
        <v>2</v>
      </c>
      <c r="C21" s="16" t="s">
        <v>228</v>
      </c>
      <c r="D21" s="17">
        <v>39.76</v>
      </c>
      <c r="E21" s="18">
        <v>0</v>
      </c>
      <c r="F21" s="17">
        <v>1.98</v>
      </c>
      <c r="G21" s="17">
        <v>29.79</v>
      </c>
      <c r="H21" s="19">
        <v>179.04</v>
      </c>
      <c r="I21" s="17">
        <v>248.37</v>
      </c>
      <c r="J21" s="20">
        <v>0.85071388888888899</v>
      </c>
      <c r="K21" s="18">
        <v>102095.182171518</v>
      </c>
      <c r="L21" s="18">
        <v>512</v>
      </c>
      <c r="M21" s="17">
        <v>3.5672000000000001</v>
      </c>
      <c r="N21" s="17">
        <v>8.7799999999999994</v>
      </c>
      <c r="O21" s="17">
        <v>15.86</v>
      </c>
      <c r="P21" s="17">
        <v>51.79</v>
      </c>
      <c r="Q21" s="17">
        <v>62.9</v>
      </c>
      <c r="R21" s="20">
        <v>0.45685555555555601</v>
      </c>
      <c r="S21" s="20">
        <v>1.3075694444444399</v>
      </c>
      <c r="T21" s="18">
        <v>156896.009842575</v>
      </c>
      <c r="U21" s="17">
        <v>99.4</v>
      </c>
      <c r="V21" s="18">
        <v>2888</v>
      </c>
      <c r="W21" s="12"/>
      <c r="X21" s="21">
        <v>0.82099999999999995</v>
      </c>
      <c r="Y21" s="21">
        <v>0.84299999999999997</v>
      </c>
      <c r="Z21" s="21">
        <v>0.83499999999999996</v>
      </c>
      <c r="AA21" s="21">
        <v>0.84399999999999997</v>
      </c>
      <c r="AB21" s="21">
        <v>0.83299999999999996</v>
      </c>
      <c r="AC21" s="21">
        <v>0.84</v>
      </c>
      <c r="AD21" s="21">
        <v>0.85699999999999998</v>
      </c>
      <c r="AE21" s="21">
        <v>0.83499999999999996</v>
      </c>
      <c r="AF21" s="21">
        <v>0.84299999999999997</v>
      </c>
      <c r="AG21" s="21">
        <v>0.84199999999999997</v>
      </c>
      <c r="AH21" s="21">
        <v>0.85299999999999998</v>
      </c>
      <c r="AI21" s="21">
        <v>0.83099999999999996</v>
      </c>
      <c r="AJ21" s="21">
        <v>0.83899999999999997</v>
      </c>
      <c r="AK21" s="21">
        <v>0.83</v>
      </c>
      <c r="AL21" s="21">
        <v>0.85799999999999998</v>
      </c>
      <c r="AM21" s="21">
        <v>0.84499999999999997</v>
      </c>
      <c r="AN21" s="21">
        <v>0.84699999999999998</v>
      </c>
      <c r="AO21" s="21">
        <v>0.84499999999999997</v>
      </c>
      <c r="AP21" s="21">
        <v>0.85299999999999998</v>
      </c>
      <c r="AQ21" s="21">
        <v>0.85699999999999998</v>
      </c>
      <c r="AR21" s="21">
        <v>0.84599999999999997</v>
      </c>
      <c r="AS21" s="21">
        <v>0.82699999999999996</v>
      </c>
      <c r="AT21" s="21">
        <v>0.87</v>
      </c>
      <c r="AU21" s="21">
        <v>0.83799999999999997</v>
      </c>
      <c r="AV21" s="21">
        <v>0.83799999999999997</v>
      </c>
      <c r="AW21" s="21">
        <v>0.83799999999999997</v>
      </c>
      <c r="AX21" s="21">
        <v>0.83699999999999997</v>
      </c>
      <c r="AY21" s="21">
        <v>0.84799999999999998</v>
      </c>
      <c r="AZ21" s="21">
        <v>0.84799999999999998</v>
      </c>
      <c r="BA21" s="21">
        <v>0.83</v>
      </c>
      <c r="BB21" s="21">
        <v>0.86</v>
      </c>
      <c r="BC21" s="21">
        <v>0.85399999999999998</v>
      </c>
      <c r="BD21" s="21">
        <v>0.84399999999999997</v>
      </c>
      <c r="BE21" s="21">
        <v>0.85</v>
      </c>
      <c r="BF21" s="21">
        <v>0.85399999999999998</v>
      </c>
      <c r="BG21" s="21">
        <v>0.85799999999999998</v>
      </c>
      <c r="BH21" s="21">
        <v>0.84699999999999998</v>
      </c>
      <c r="BI21" s="21">
        <v>0.88900000000000001</v>
      </c>
      <c r="BJ21" s="21">
        <v>0.91900000000000004</v>
      </c>
      <c r="BK21" s="21">
        <v>0.91900000000000004</v>
      </c>
      <c r="BL21" s="21">
        <v>0.83799999999999997</v>
      </c>
      <c r="BM21" s="21"/>
      <c r="BN21" s="21"/>
      <c r="BO21" s="21"/>
      <c r="BP21" s="21"/>
    </row>
    <row r="22" spans="1:68" x14ac:dyDescent="0.25">
      <c r="A22" s="16" t="s">
        <v>228</v>
      </c>
      <c r="B22" s="12">
        <v>3</v>
      </c>
      <c r="C22" s="16" t="s">
        <v>228</v>
      </c>
      <c r="D22" s="17">
        <v>39.78</v>
      </c>
      <c r="E22" s="18">
        <v>0</v>
      </c>
      <c r="F22" s="17">
        <v>2.72</v>
      </c>
      <c r="G22" s="17">
        <v>28.51</v>
      </c>
      <c r="H22" s="19">
        <v>159.66999999999999</v>
      </c>
      <c r="I22" s="17">
        <v>246.44</v>
      </c>
      <c r="J22" s="20">
        <v>0.83831388888888902</v>
      </c>
      <c r="K22" s="18">
        <v>100648.363931036</v>
      </c>
      <c r="L22" s="18">
        <v>512</v>
      </c>
      <c r="M22" s="17">
        <v>3.2391999999999999</v>
      </c>
      <c r="N22" s="17">
        <v>10.09</v>
      </c>
      <c r="O22" s="17">
        <v>15.99</v>
      </c>
      <c r="P22" s="17">
        <v>52.03</v>
      </c>
      <c r="Q22" s="17">
        <v>62.92</v>
      </c>
      <c r="R22" s="20">
        <v>0.45468055555555598</v>
      </c>
      <c r="S22" s="20">
        <v>1.2929944444444501</v>
      </c>
      <c r="T22" s="18">
        <v>155223.712521307</v>
      </c>
      <c r="U22" s="17">
        <v>99.5</v>
      </c>
      <c r="V22" s="18">
        <v>2889</v>
      </c>
      <c r="W22" s="12"/>
      <c r="X22" s="21">
        <v>0.82</v>
      </c>
      <c r="Y22" s="21">
        <v>0.83199999999999996</v>
      </c>
      <c r="Z22" s="21">
        <v>0.83</v>
      </c>
      <c r="AA22" s="21">
        <v>0.83899999999999997</v>
      </c>
      <c r="AB22" s="21">
        <v>0.82</v>
      </c>
      <c r="AC22" s="21">
        <v>0.84899999999999998</v>
      </c>
      <c r="AD22" s="21">
        <v>0.82299999999999995</v>
      </c>
      <c r="AE22" s="21">
        <v>0.83099999999999996</v>
      </c>
      <c r="AF22" s="21">
        <v>0.84799999999999998</v>
      </c>
      <c r="AG22" s="21">
        <v>0.83399999999999996</v>
      </c>
      <c r="AH22" s="21">
        <v>0.84199999999999997</v>
      </c>
      <c r="AI22" s="21">
        <v>0.83</v>
      </c>
      <c r="AJ22" s="21">
        <v>0.81</v>
      </c>
      <c r="AK22" s="21">
        <v>0.85199999999999998</v>
      </c>
      <c r="AL22" s="21">
        <v>0.84199999999999997</v>
      </c>
      <c r="AM22" s="21">
        <v>0.82299999999999995</v>
      </c>
      <c r="AN22" s="21">
        <v>0.84599999999999997</v>
      </c>
      <c r="AO22" s="21">
        <v>0.83599999999999997</v>
      </c>
      <c r="AP22" s="21">
        <v>0.85</v>
      </c>
      <c r="AQ22" s="21">
        <v>0.84499999999999997</v>
      </c>
      <c r="AR22" s="21">
        <v>0.84</v>
      </c>
      <c r="AS22" s="21">
        <v>0.84699999999999998</v>
      </c>
      <c r="AT22" s="21">
        <v>0.83899999999999997</v>
      </c>
      <c r="AU22" s="21">
        <v>0.84299999999999997</v>
      </c>
      <c r="AV22" s="21">
        <v>0.86</v>
      </c>
      <c r="AW22" s="21">
        <v>0.84299999999999997</v>
      </c>
      <c r="AX22" s="21">
        <v>0.84799999999999998</v>
      </c>
      <c r="AY22" s="21">
        <v>0.84</v>
      </c>
      <c r="AZ22" s="21">
        <v>0.83</v>
      </c>
      <c r="BA22" s="21">
        <v>0.84399999999999997</v>
      </c>
      <c r="BB22" s="21">
        <v>0.82499999999999996</v>
      </c>
      <c r="BC22" s="21">
        <v>0.85299999999999998</v>
      </c>
      <c r="BD22" s="21">
        <v>0.84599999999999997</v>
      </c>
      <c r="BE22" s="21">
        <v>0.83099999999999996</v>
      </c>
      <c r="BF22" s="21">
        <v>0.84799999999999998</v>
      </c>
      <c r="BG22" s="21">
        <v>0.84799999999999998</v>
      </c>
      <c r="BH22" s="21">
        <v>0.84299999999999997</v>
      </c>
      <c r="BI22" s="21">
        <v>0.84499999999999997</v>
      </c>
      <c r="BJ22" s="21">
        <v>0.84899999999999998</v>
      </c>
      <c r="BK22" s="21">
        <v>0.82899999999999996</v>
      </c>
      <c r="BL22" s="21">
        <v>0.76800000000000002</v>
      </c>
      <c r="BM22" s="21"/>
      <c r="BN22" s="21"/>
      <c r="BO22" s="21"/>
      <c r="BP22" s="21"/>
    </row>
    <row r="23" spans="1:68" x14ac:dyDescent="0.25">
      <c r="A23" s="22" t="s">
        <v>229</v>
      </c>
      <c r="B23" s="15">
        <v>1</v>
      </c>
      <c r="C23" s="22" t="s">
        <v>229</v>
      </c>
      <c r="D23" s="23">
        <v>48.05</v>
      </c>
      <c r="E23" s="24">
        <v>0</v>
      </c>
      <c r="F23" s="23">
        <v>6.46</v>
      </c>
      <c r="G23" s="23">
        <v>30.09</v>
      </c>
      <c r="H23" s="25">
        <v>174.04</v>
      </c>
      <c r="I23" s="23">
        <v>247.93</v>
      </c>
      <c r="J23" s="26">
        <v>0.92320666666666695</v>
      </c>
      <c r="K23" s="24">
        <v>111022.575495244</v>
      </c>
      <c r="L23" s="24">
        <v>512</v>
      </c>
      <c r="M23" s="23">
        <v>3.4758</v>
      </c>
      <c r="N23" s="23">
        <v>9.56</v>
      </c>
      <c r="O23" s="23">
        <v>16.75</v>
      </c>
      <c r="P23" s="23">
        <v>55.7</v>
      </c>
      <c r="Q23" s="23">
        <v>66.39</v>
      </c>
      <c r="R23" s="26">
        <v>0.46113333333333301</v>
      </c>
      <c r="S23" s="26">
        <v>1.3843399999999999</v>
      </c>
      <c r="T23" s="24">
        <v>166480.13401389599</v>
      </c>
      <c r="U23" s="23">
        <v>99.4</v>
      </c>
      <c r="V23" s="24">
        <v>2887</v>
      </c>
      <c r="W23" s="15"/>
      <c r="X23" s="27">
        <v>0.90900000000000003</v>
      </c>
      <c r="Y23" s="27">
        <v>0.90800000000000003</v>
      </c>
      <c r="Z23" s="27">
        <v>0.92</v>
      </c>
      <c r="AA23" s="27">
        <v>0.9</v>
      </c>
      <c r="AB23" s="27">
        <v>0.91100000000000003</v>
      </c>
      <c r="AC23" s="27">
        <v>0.92100000000000004</v>
      </c>
      <c r="AD23" s="27">
        <v>0.94399999999999995</v>
      </c>
      <c r="AE23" s="27">
        <v>0.90200000000000002</v>
      </c>
      <c r="AF23" s="27">
        <v>0.89700000000000002</v>
      </c>
      <c r="AG23" s="27">
        <v>0.89600000000000002</v>
      </c>
      <c r="AH23" s="27">
        <v>0.91300000000000003</v>
      </c>
      <c r="AI23" s="27">
        <v>0.92800000000000005</v>
      </c>
      <c r="AJ23" s="27">
        <v>0.91300000000000003</v>
      </c>
      <c r="AK23" s="27">
        <v>0.91900000000000004</v>
      </c>
      <c r="AL23" s="27">
        <v>0.92</v>
      </c>
      <c r="AM23" s="27">
        <v>0.88300000000000001</v>
      </c>
      <c r="AN23" s="27">
        <v>0.91800000000000004</v>
      </c>
      <c r="AO23" s="27">
        <v>0.92300000000000004</v>
      </c>
      <c r="AP23" s="27">
        <v>0.92100000000000004</v>
      </c>
      <c r="AQ23" s="27">
        <v>0.90100000000000002</v>
      </c>
      <c r="AR23" s="27">
        <v>0.93799999999999994</v>
      </c>
      <c r="AS23" s="27">
        <v>0.91800000000000004</v>
      </c>
      <c r="AT23" s="27">
        <v>0.92</v>
      </c>
      <c r="AU23" s="27">
        <v>0.91700000000000004</v>
      </c>
      <c r="AV23" s="27">
        <v>0.90800000000000003</v>
      </c>
      <c r="AW23" s="27">
        <v>0.90600000000000003</v>
      </c>
      <c r="AX23" s="27">
        <v>0.91700000000000004</v>
      </c>
      <c r="AY23" s="27">
        <v>0.92600000000000005</v>
      </c>
      <c r="AZ23" s="27">
        <v>0.92800000000000005</v>
      </c>
      <c r="BA23" s="27">
        <v>0.90700000000000003</v>
      </c>
      <c r="BB23" s="27">
        <v>0.95599999999999996</v>
      </c>
      <c r="BC23" s="27">
        <v>1.421</v>
      </c>
      <c r="BD23" s="27">
        <v>0.96399999999999997</v>
      </c>
      <c r="BE23" s="27">
        <v>0.90500000000000003</v>
      </c>
      <c r="BF23" s="27">
        <v>0.92200000000000004</v>
      </c>
      <c r="BG23" s="27">
        <v>0.89400000000000002</v>
      </c>
      <c r="BH23" s="27">
        <v>0.92100000000000004</v>
      </c>
      <c r="BI23" s="27">
        <v>0.92400000000000004</v>
      </c>
      <c r="BJ23" s="27">
        <v>0.92100000000000004</v>
      </c>
      <c r="BK23" s="27">
        <v>0.90600000000000003</v>
      </c>
      <c r="BL23" s="27">
        <v>0.91300000000000003</v>
      </c>
      <c r="BM23" s="27">
        <v>0.90900000000000003</v>
      </c>
      <c r="BN23" s="27">
        <v>0.91900000000000004</v>
      </c>
      <c r="BO23" s="27">
        <v>0.89100000000000001</v>
      </c>
      <c r="BP23" s="27">
        <v>0.9</v>
      </c>
    </row>
    <row r="24" spans="1:68" x14ac:dyDescent="0.25">
      <c r="A24" s="22" t="s">
        <v>229</v>
      </c>
      <c r="B24" s="15">
        <v>2</v>
      </c>
      <c r="C24" s="22" t="s">
        <v>229</v>
      </c>
      <c r="D24" s="23">
        <v>39.89</v>
      </c>
      <c r="E24" s="24">
        <v>0</v>
      </c>
      <c r="F24" s="23">
        <v>6.4</v>
      </c>
      <c r="G24" s="23">
        <v>30.19</v>
      </c>
      <c r="H24" s="25">
        <v>173.41</v>
      </c>
      <c r="I24" s="23">
        <v>247.98</v>
      </c>
      <c r="J24" s="26">
        <v>0.90027567567567601</v>
      </c>
      <c r="K24" s="24">
        <v>108250.048160277</v>
      </c>
      <c r="L24" s="24">
        <v>512</v>
      </c>
      <c r="M24" s="23">
        <v>3.3129</v>
      </c>
      <c r="N24" s="23">
        <v>9.61</v>
      </c>
      <c r="O24" s="23">
        <v>18.7</v>
      </c>
      <c r="P24" s="23">
        <v>56.84</v>
      </c>
      <c r="Q24" s="23">
        <v>78.430000000000007</v>
      </c>
      <c r="R24" s="26">
        <v>0.44240810810810799</v>
      </c>
      <c r="S24" s="26">
        <v>1.3426837837837799</v>
      </c>
      <c r="T24" s="24">
        <v>161445.49632605899</v>
      </c>
      <c r="U24" s="23">
        <v>99.5</v>
      </c>
      <c r="V24" s="24">
        <v>2890</v>
      </c>
      <c r="W24" s="15"/>
      <c r="X24" s="27">
        <v>0.88500000000000001</v>
      </c>
      <c r="Y24" s="27">
        <v>0.90400000000000003</v>
      </c>
      <c r="Z24" s="27">
        <v>0.90900000000000003</v>
      </c>
      <c r="AA24" s="27">
        <v>0.89800000000000002</v>
      </c>
      <c r="AB24" s="27">
        <v>0.91800000000000004</v>
      </c>
      <c r="AC24" s="27">
        <v>0.90400000000000003</v>
      </c>
      <c r="AD24" s="27">
        <v>0.95</v>
      </c>
      <c r="AE24" s="27">
        <v>0.91200000000000003</v>
      </c>
      <c r="AF24" s="27">
        <v>0.94499999999999995</v>
      </c>
      <c r="AG24" s="27">
        <v>0.93400000000000005</v>
      </c>
      <c r="AH24" s="27">
        <v>0.86099999999999999</v>
      </c>
      <c r="AI24" s="27">
        <v>0.89200000000000002</v>
      </c>
      <c r="AJ24" s="27">
        <v>0.91300000000000003</v>
      </c>
      <c r="AK24" s="27">
        <v>0.90400000000000003</v>
      </c>
      <c r="AL24" s="27">
        <v>0.83499999999999996</v>
      </c>
      <c r="AM24" s="27">
        <v>0.86799999999999999</v>
      </c>
      <c r="AN24" s="27">
        <v>0.89800000000000002</v>
      </c>
      <c r="AO24" s="27">
        <v>0.91400000000000003</v>
      </c>
      <c r="AP24" s="27">
        <v>0.88500000000000001</v>
      </c>
      <c r="AQ24" s="27">
        <v>0.876</v>
      </c>
      <c r="AR24" s="27">
        <v>0.9</v>
      </c>
      <c r="AS24" s="27">
        <v>0.91200000000000003</v>
      </c>
      <c r="AT24" s="27">
        <v>0.91</v>
      </c>
      <c r="AU24" s="27">
        <v>0.91</v>
      </c>
      <c r="AV24" s="27">
        <v>0.88800000000000001</v>
      </c>
      <c r="AW24" s="27">
        <v>0.90500000000000003</v>
      </c>
      <c r="AX24" s="27">
        <v>0.89900000000000002</v>
      </c>
      <c r="AY24" s="27">
        <v>0.89500000000000002</v>
      </c>
      <c r="AZ24" s="27">
        <v>0.90700000000000003</v>
      </c>
      <c r="BA24" s="27">
        <v>0.91300000000000003</v>
      </c>
      <c r="BB24" s="27">
        <v>0.92900000000000005</v>
      </c>
      <c r="BC24" s="27">
        <v>0.91100000000000003</v>
      </c>
      <c r="BD24" s="27">
        <v>0.89400000000000002</v>
      </c>
      <c r="BE24" s="27">
        <v>0.89900000000000002</v>
      </c>
      <c r="BF24" s="27">
        <v>0.89900000000000002</v>
      </c>
      <c r="BG24" s="27">
        <v>0.92800000000000005</v>
      </c>
      <c r="BH24" s="27">
        <v>0.91100000000000003</v>
      </c>
      <c r="BI24" s="27">
        <v>0.92600000000000005</v>
      </c>
      <c r="BJ24" s="27">
        <v>0.89800000000000002</v>
      </c>
      <c r="BK24" s="27">
        <v>0.90700000000000003</v>
      </c>
      <c r="BL24" s="27">
        <v>0.876</v>
      </c>
      <c r="BM24" s="27">
        <v>0.80100000000000005</v>
      </c>
      <c r="BN24" s="27"/>
      <c r="BO24" s="27"/>
      <c r="BP24" s="27"/>
    </row>
    <row r="25" spans="1:68" x14ac:dyDescent="0.25">
      <c r="A25" s="22" t="s">
        <v>229</v>
      </c>
      <c r="B25" s="15">
        <v>3</v>
      </c>
      <c r="C25" s="22" t="s">
        <v>229</v>
      </c>
      <c r="D25" s="23">
        <v>39.79</v>
      </c>
      <c r="E25" s="24">
        <v>0</v>
      </c>
      <c r="F25" s="23">
        <v>5.75</v>
      </c>
      <c r="G25" s="23">
        <v>30.25</v>
      </c>
      <c r="H25" s="25">
        <v>176.99</v>
      </c>
      <c r="I25" s="23">
        <v>248.26</v>
      </c>
      <c r="J25" s="26">
        <v>0.91481081081081095</v>
      </c>
      <c r="K25" s="24">
        <v>110146.154270885</v>
      </c>
      <c r="L25" s="24">
        <v>512</v>
      </c>
      <c r="M25" s="23">
        <v>3.55</v>
      </c>
      <c r="N25" s="23">
        <v>9.75</v>
      </c>
      <c r="O25" s="23">
        <v>17.28</v>
      </c>
      <c r="P25" s="23">
        <v>55.97</v>
      </c>
      <c r="Q25" s="23">
        <v>71.39</v>
      </c>
      <c r="R25" s="26">
        <v>0.45444594594594601</v>
      </c>
      <c r="S25" s="26">
        <v>1.36925675675676</v>
      </c>
      <c r="T25" s="24">
        <v>164888.465573408</v>
      </c>
      <c r="U25" s="23">
        <v>99.5</v>
      </c>
      <c r="V25" s="24">
        <v>2889</v>
      </c>
      <c r="W25" s="15"/>
      <c r="X25" s="27">
        <v>0.83399999999999996</v>
      </c>
      <c r="Y25" s="27">
        <v>0.92400000000000004</v>
      </c>
      <c r="Z25" s="27">
        <v>0.93300000000000005</v>
      </c>
      <c r="AA25" s="27">
        <v>0.92100000000000004</v>
      </c>
      <c r="AB25" s="27">
        <v>0.90700000000000003</v>
      </c>
      <c r="AC25" s="27">
        <v>0.92400000000000004</v>
      </c>
      <c r="AD25" s="27">
        <v>0.92</v>
      </c>
      <c r="AE25" s="27">
        <v>0.91800000000000004</v>
      </c>
      <c r="AF25" s="27">
        <v>0.92600000000000005</v>
      </c>
      <c r="AG25" s="27">
        <v>0.93799999999999994</v>
      </c>
      <c r="AH25" s="27">
        <v>0.90800000000000003</v>
      </c>
      <c r="AI25" s="27">
        <v>0.91800000000000004</v>
      </c>
      <c r="AJ25" s="27">
        <v>0.91100000000000003</v>
      </c>
      <c r="AK25" s="27">
        <v>0.92900000000000005</v>
      </c>
      <c r="AL25" s="27">
        <v>0.92400000000000004</v>
      </c>
      <c r="AM25" s="27">
        <v>0.91700000000000004</v>
      </c>
      <c r="AN25" s="27">
        <v>0.91</v>
      </c>
      <c r="AO25" s="27">
        <v>0.90800000000000003</v>
      </c>
      <c r="AP25" s="27">
        <v>0.93500000000000005</v>
      </c>
      <c r="AQ25" s="27">
        <v>0.92300000000000004</v>
      </c>
      <c r="AR25" s="27">
        <v>0.90900000000000003</v>
      </c>
      <c r="AS25" s="27">
        <v>0.92300000000000004</v>
      </c>
      <c r="AT25" s="27">
        <v>0.93899999999999995</v>
      </c>
      <c r="AU25" s="27">
        <v>0.92100000000000004</v>
      </c>
      <c r="AV25" s="27">
        <v>0.90100000000000002</v>
      </c>
      <c r="AW25" s="27">
        <v>0.92700000000000005</v>
      </c>
      <c r="AX25" s="27">
        <v>0.92800000000000005</v>
      </c>
      <c r="AY25" s="27">
        <v>0.93400000000000005</v>
      </c>
      <c r="AZ25" s="27">
        <v>0.876</v>
      </c>
      <c r="BA25" s="27">
        <v>0.91800000000000004</v>
      </c>
      <c r="BB25" s="27">
        <v>0.90900000000000003</v>
      </c>
      <c r="BC25" s="27">
        <v>0.91400000000000003</v>
      </c>
      <c r="BD25" s="27">
        <v>0.91300000000000003</v>
      </c>
      <c r="BE25" s="27">
        <v>0.94</v>
      </c>
      <c r="BF25" s="27">
        <v>0.92700000000000005</v>
      </c>
      <c r="BG25" s="27">
        <v>0.92700000000000005</v>
      </c>
      <c r="BH25" s="27">
        <v>0.91800000000000004</v>
      </c>
      <c r="BI25" s="27">
        <v>0.90200000000000002</v>
      </c>
      <c r="BJ25" s="27">
        <v>0.93400000000000005</v>
      </c>
      <c r="BK25" s="27">
        <v>0.92300000000000004</v>
      </c>
      <c r="BL25" s="27">
        <v>0.88300000000000001</v>
      </c>
      <c r="BM25" s="27">
        <v>0.77200000000000002</v>
      </c>
      <c r="BN25" s="27"/>
      <c r="BO25" s="27"/>
      <c r="BP25" s="27"/>
    </row>
    <row r="26" spans="1:68" x14ac:dyDescent="0.25">
      <c r="A26" s="16" t="s">
        <v>230</v>
      </c>
      <c r="B26" s="12">
        <v>1</v>
      </c>
      <c r="C26" s="16" t="s">
        <v>230</v>
      </c>
      <c r="D26" s="17">
        <v>39.840000000000003</v>
      </c>
      <c r="E26" s="18">
        <v>0</v>
      </c>
      <c r="F26" s="17">
        <v>3.2</v>
      </c>
      <c r="G26" s="17">
        <v>29.44</v>
      </c>
      <c r="H26" s="19">
        <v>175.21</v>
      </c>
      <c r="I26" s="17">
        <v>247.94</v>
      </c>
      <c r="J26" s="20">
        <v>0.85681081081081101</v>
      </c>
      <c r="K26" s="18">
        <v>103577.443359429</v>
      </c>
      <c r="L26" s="18">
        <v>512</v>
      </c>
      <c r="M26" s="17">
        <v>3.4401999999999999</v>
      </c>
      <c r="N26" s="17">
        <v>9.41</v>
      </c>
      <c r="O26" s="17">
        <v>15.88</v>
      </c>
      <c r="P26" s="17">
        <v>50.47</v>
      </c>
      <c r="Q26" s="17">
        <v>62.77</v>
      </c>
      <c r="R26" s="20">
        <v>0.455721621621622</v>
      </c>
      <c r="S26" s="20">
        <v>1.3125324324324299</v>
      </c>
      <c r="T26" s="18">
        <v>158674.84577720001</v>
      </c>
      <c r="U26" s="17">
        <v>99.5</v>
      </c>
      <c r="V26" s="18">
        <v>2889</v>
      </c>
      <c r="W26" s="12"/>
      <c r="X26" s="21">
        <v>0.752</v>
      </c>
      <c r="Y26" s="21">
        <v>0.69099999999999995</v>
      </c>
      <c r="Z26" s="21">
        <v>0.65600000000000003</v>
      </c>
      <c r="AA26" s="21">
        <v>0.89500000000000002</v>
      </c>
      <c r="AB26" s="21">
        <v>0.88300000000000001</v>
      </c>
      <c r="AC26" s="21">
        <v>0.91900000000000004</v>
      </c>
      <c r="AD26" s="21">
        <v>0.871</v>
      </c>
      <c r="AE26" s="21">
        <v>0.88</v>
      </c>
      <c r="AF26" s="21">
        <v>0.877</v>
      </c>
      <c r="AG26" s="21">
        <v>0.875</v>
      </c>
      <c r="AH26" s="21">
        <v>0.877</v>
      </c>
      <c r="AI26" s="21">
        <v>0.88100000000000001</v>
      </c>
      <c r="AJ26" s="21">
        <v>0.879</v>
      </c>
      <c r="AK26" s="21">
        <v>0.874</v>
      </c>
      <c r="AL26" s="21">
        <v>0.85399999999999998</v>
      </c>
      <c r="AM26" s="21">
        <v>0.85399999999999998</v>
      </c>
      <c r="AN26" s="21">
        <v>0.84499999999999997</v>
      </c>
      <c r="AO26" s="21">
        <v>0.83299999999999996</v>
      </c>
      <c r="AP26" s="21">
        <v>0.86299999999999999</v>
      </c>
      <c r="AQ26" s="21">
        <v>0.86299999999999999</v>
      </c>
      <c r="AR26" s="21">
        <v>0.85399999999999998</v>
      </c>
      <c r="AS26" s="21">
        <v>0.86099999999999999</v>
      </c>
      <c r="AT26" s="21">
        <v>0.85299999999999998</v>
      </c>
      <c r="AU26" s="21">
        <v>0.85499999999999998</v>
      </c>
      <c r="AV26" s="21">
        <v>0.85</v>
      </c>
      <c r="AW26" s="21">
        <v>0.84599999999999997</v>
      </c>
      <c r="AX26" s="21">
        <v>0.86099999999999999</v>
      </c>
      <c r="AY26" s="21">
        <v>0.99399999999999999</v>
      </c>
      <c r="AZ26" s="21">
        <v>0.86099999999999999</v>
      </c>
      <c r="BA26" s="21">
        <v>0.84699999999999998</v>
      </c>
      <c r="BB26" s="21">
        <v>0.86099999999999999</v>
      </c>
      <c r="BC26" s="21">
        <v>0.85099999999999998</v>
      </c>
      <c r="BD26" s="21">
        <v>0.85499999999999998</v>
      </c>
      <c r="BE26" s="21">
        <v>0.86299999999999999</v>
      </c>
      <c r="BF26" s="21">
        <v>0.878</v>
      </c>
      <c r="BG26" s="21">
        <v>0.84699999999999998</v>
      </c>
      <c r="BH26" s="21">
        <v>0.85399999999999998</v>
      </c>
      <c r="BI26" s="21">
        <v>0.84</v>
      </c>
      <c r="BJ26" s="21">
        <v>0.85599999999999998</v>
      </c>
      <c r="BK26" s="21">
        <v>0.84699999999999998</v>
      </c>
      <c r="BL26" s="21">
        <v>0.83499999999999996</v>
      </c>
      <c r="BM26" s="21">
        <v>0.58799999999999997</v>
      </c>
      <c r="BN26" s="21"/>
      <c r="BO26" s="21"/>
      <c r="BP26" s="21"/>
    </row>
    <row r="27" spans="1:68" x14ac:dyDescent="0.25">
      <c r="A27" s="16" t="s">
        <v>230</v>
      </c>
      <c r="B27" s="12">
        <v>2</v>
      </c>
      <c r="C27" s="16" t="s">
        <v>230</v>
      </c>
      <c r="D27" s="17">
        <v>39.770000000000003</v>
      </c>
      <c r="E27" s="18">
        <v>0</v>
      </c>
      <c r="F27" s="17">
        <v>2.77</v>
      </c>
      <c r="G27" s="17">
        <v>29.69</v>
      </c>
      <c r="H27" s="19">
        <v>173.62</v>
      </c>
      <c r="I27" s="17">
        <v>247.85</v>
      </c>
      <c r="J27" s="20">
        <v>0.85506944444444399</v>
      </c>
      <c r="K27" s="18">
        <v>102629.162490255</v>
      </c>
      <c r="L27" s="18">
        <v>512</v>
      </c>
      <c r="M27" s="17">
        <v>3.5872000000000002</v>
      </c>
      <c r="N27" s="17">
        <v>9.48</v>
      </c>
      <c r="O27" s="17">
        <v>15.91</v>
      </c>
      <c r="P27" s="17">
        <v>50.92</v>
      </c>
      <c r="Q27" s="17">
        <v>62.75</v>
      </c>
      <c r="R27" s="20">
        <v>0.45285555555555601</v>
      </c>
      <c r="S27" s="20">
        <v>1.307925</v>
      </c>
      <c r="T27" s="18">
        <v>156982.459071166</v>
      </c>
      <c r="U27" s="17">
        <v>99.5</v>
      </c>
      <c r="V27" s="18">
        <v>2889</v>
      </c>
      <c r="W27" s="12"/>
      <c r="X27" s="21">
        <v>0.82299999999999995</v>
      </c>
      <c r="Y27" s="21">
        <v>0.85499999999999998</v>
      </c>
      <c r="Z27" s="21">
        <v>0.85399999999999998</v>
      </c>
      <c r="AA27" s="21">
        <v>0.83799999999999997</v>
      </c>
      <c r="AB27" s="21">
        <v>0.84899999999999998</v>
      </c>
      <c r="AC27" s="21">
        <v>0.86099999999999999</v>
      </c>
      <c r="AD27" s="21">
        <v>0.86299999999999999</v>
      </c>
      <c r="AE27" s="21">
        <v>0.85899999999999999</v>
      </c>
      <c r="AF27" s="21">
        <v>0.85399999999999998</v>
      </c>
      <c r="AG27" s="21">
        <v>0.83699999999999997</v>
      </c>
      <c r="AH27" s="21">
        <v>0.85299999999999998</v>
      </c>
      <c r="AI27" s="21">
        <v>0.84599999999999997</v>
      </c>
      <c r="AJ27" s="21">
        <v>0.85199999999999998</v>
      </c>
      <c r="AK27" s="21">
        <v>0.85699999999999998</v>
      </c>
      <c r="AL27" s="21">
        <v>0.84899999999999998</v>
      </c>
      <c r="AM27" s="21">
        <v>0.86</v>
      </c>
      <c r="AN27" s="21">
        <v>0.85399999999999998</v>
      </c>
      <c r="AO27" s="21">
        <v>0.871</v>
      </c>
      <c r="AP27" s="21">
        <v>0.86399999999999999</v>
      </c>
      <c r="AQ27" s="21">
        <v>0.85499999999999998</v>
      </c>
      <c r="AR27" s="21">
        <v>0.84</v>
      </c>
      <c r="AS27" s="21">
        <v>0.85399999999999998</v>
      </c>
      <c r="AT27" s="21">
        <v>0.85199999999999998</v>
      </c>
      <c r="AU27" s="21">
        <v>0.85599999999999998</v>
      </c>
      <c r="AV27" s="21">
        <v>0.86</v>
      </c>
      <c r="AW27" s="21">
        <v>0.85399999999999998</v>
      </c>
      <c r="AX27" s="21">
        <v>0.85499999999999998</v>
      </c>
      <c r="AY27" s="21">
        <v>0.85599999999999998</v>
      </c>
      <c r="AZ27" s="21">
        <v>0.84299999999999997</v>
      </c>
      <c r="BA27" s="21">
        <v>0.93400000000000005</v>
      </c>
      <c r="BB27" s="21">
        <v>0.84399999999999997</v>
      </c>
      <c r="BC27" s="21">
        <v>0.85499999999999998</v>
      </c>
      <c r="BD27" s="21">
        <v>0.85299999999999998</v>
      </c>
      <c r="BE27" s="21">
        <v>0.85799999999999998</v>
      </c>
      <c r="BF27" s="21">
        <v>0.86199999999999999</v>
      </c>
      <c r="BG27" s="21">
        <v>0.85499999999999998</v>
      </c>
      <c r="BH27" s="21">
        <v>0.85599999999999998</v>
      </c>
      <c r="BI27" s="21">
        <v>0.85399999999999998</v>
      </c>
      <c r="BJ27" s="21">
        <v>0.86</v>
      </c>
      <c r="BK27" s="21">
        <v>0.86799999999999999</v>
      </c>
      <c r="BL27" s="21">
        <v>0.77900000000000003</v>
      </c>
      <c r="BM27" s="21"/>
      <c r="BN27" s="21"/>
      <c r="BO27" s="21"/>
      <c r="BP27" s="21"/>
    </row>
    <row r="28" spans="1:68" x14ac:dyDescent="0.25">
      <c r="A28" s="16" t="s">
        <v>230</v>
      </c>
      <c r="B28" s="12">
        <v>3</v>
      </c>
      <c r="C28" s="16" t="s">
        <v>230</v>
      </c>
      <c r="D28" s="17">
        <v>39.770000000000003</v>
      </c>
      <c r="E28" s="18">
        <v>0</v>
      </c>
      <c r="F28" s="17">
        <v>3.24</v>
      </c>
      <c r="G28" s="17">
        <v>29.39</v>
      </c>
      <c r="H28" s="19">
        <v>176.85</v>
      </c>
      <c r="I28" s="17">
        <v>248.13</v>
      </c>
      <c r="J28" s="20">
        <v>0.842411111111111</v>
      </c>
      <c r="K28" s="18">
        <v>101099.443981095</v>
      </c>
      <c r="L28" s="18">
        <v>512</v>
      </c>
      <c r="M28" s="17">
        <v>3.3712</v>
      </c>
      <c r="N28" s="17">
        <v>9.67</v>
      </c>
      <c r="O28" s="17">
        <v>15.96</v>
      </c>
      <c r="P28" s="17">
        <v>51.39</v>
      </c>
      <c r="Q28" s="17">
        <v>62.91</v>
      </c>
      <c r="R28" s="20">
        <v>0.44937500000000002</v>
      </c>
      <c r="S28" s="20">
        <v>1.29178611111111</v>
      </c>
      <c r="T28" s="18">
        <v>155030.16402557699</v>
      </c>
      <c r="U28" s="17">
        <v>99.7</v>
      </c>
      <c r="V28" s="18">
        <v>2895</v>
      </c>
      <c r="W28" s="12"/>
      <c r="X28" s="21">
        <v>0.84399999999999997</v>
      </c>
      <c r="Y28" s="21">
        <v>0.85199999999999998</v>
      </c>
      <c r="Z28" s="21">
        <v>0.85099999999999998</v>
      </c>
      <c r="AA28" s="21">
        <v>0.84899999999999998</v>
      </c>
      <c r="AB28" s="21">
        <v>0.85</v>
      </c>
      <c r="AC28" s="21">
        <v>0.873</v>
      </c>
      <c r="AD28" s="21">
        <v>0.83299999999999996</v>
      </c>
      <c r="AE28" s="21">
        <v>0.70899999999999996</v>
      </c>
      <c r="AF28" s="21">
        <v>0.85</v>
      </c>
      <c r="AG28" s="21">
        <v>0.85499999999999998</v>
      </c>
      <c r="AH28" s="21">
        <v>0.86099999999999999</v>
      </c>
      <c r="AI28" s="21">
        <v>0.85899999999999999</v>
      </c>
      <c r="AJ28" s="21">
        <v>0.84299999999999997</v>
      </c>
      <c r="AK28" s="21">
        <v>0.84499999999999997</v>
      </c>
      <c r="AL28" s="21">
        <v>0.871</v>
      </c>
      <c r="AM28" s="21">
        <v>0.85799999999999998</v>
      </c>
      <c r="AN28" s="21">
        <v>0.84599999999999997</v>
      </c>
      <c r="AO28" s="21">
        <v>0.86199999999999999</v>
      </c>
      <c r="AP28" s="21">
        <v>0.84099999999999997</v>
      </c>
      <c r="AQ28" s="21">
        <v>0.84599999999999997</v>
      </c>
      <c r="AR28" s="21">
        <v>0.84599999999999997</v>
      </c>
      <c r="AS28" s="21">
        <v>0.85</v>
      </c>
      <c r="AT28" s="21">
        <v>0.83199999999999996</v>
      </c>
      <c r="AU28" s="21">
        <v>0.85399999999999998</v>
      </c>
      <c r="AV28" s="21">
        <v>0.84599999999999997</v>
      </c>
      <c r="AW28" s="21">
        <v>0.83299999999999996</v>
      </c>
      <c r="AX28" s="21">
        <v>0.84599999999999997</v>
      </c>
      <c r="AY28" s="21">
        <v>0.86599999999999999</v>
      </c>
      <c r="AZ28" s="21">
        <v>0.83599999999999997</v>
      </c>
      <c r="BA28" s="21">
        <v>0.83399999999999996</v>
      </c>
      <c r="BB28" s="21">
        <v>0.85399999999999998</v>
      </c>
      <c r="BC28" s="21">
        <v>0.84899999999999998</v>
      </c>
      <c r="BD28" s="21">
        <v>0.84599999999999997</v>
      </c>
      <c r="BE28" s="21">
        <v>0.83499999999999996</v>
      </c>
      <c r="BF28" s="21">
        <v>0.85199999999999998</v>
      </c>
      <c r="BG28" s="21">
        <v>0.87</v>
      </c>
      <c r="BH28" s="21">
        <v>0.85099999999999998</v>
      </c>
      <c r="BI28" s="21">
        <v>0.84</v>
      </c>
      <c r="BJ28" s="21">
        <v>0.84799999999999998</v>
      </c>
      <c r="BK28" s="21">
        <v>0.84199999999999997</v>
      </c>
      <c r="BL28" s="21">
        <v>0.74399999999999999</v>
      </c>
      <c r="BM28" s="21"/>
      <c r="BN28" s="21"/>
      <c r="BO28" s="21"/>
      <c r="BP28" s="21"/>
    </row>
    <row r="29" spans="1:68" x14ac:dyDescent="0.25">
      <c r="A29" s="28" t="s">
        <v>231</v>
      </c>
      <c r="B29" s="29">
        <v>1</v>
      </c>
      <c r="C29" s="28" t="s">
        <v>231</v>
      </c>
      <c r="D29" s="30">
        <v>39.78</v>
      </c>
      <c r="E29" s="31">
        <v>0</v>
      </c>
      <c r="F29" s="30">
        <v>5.27</v>
      </c>
      <c r="G29" s="30">
        <v>29.43</v>
      </c>
      <c r="H29" s="32">
        <v>175.58</v>
      </c>
      <c r="I29" s="30">
        <v>248.08</v>
      </c>
      <c r="J29" s="33">
        <v>0.85902702702702705</v>
      </c>
      <c r="K29" s="31">
        <v>105870.177094321</v>
      </c>
      <c r="L29" s="31">
        <v>512</v>
      </c>
      <c r="M29" s="30">
        <v>3.3763999999999998</v>
      </c>
      <c r="N29" s="30">
        <v>9.33</v>
      </c>
      <c r="O29" s="30">
        <v>15.96</v>
      </c>
      <c r="P29" s="30">
        <v>51.75</v>
      </c>
      <c r="Q29" s="30">
        <v>62.87</v>
      </c>
      <c r="R29" s="33">
        <v>0.42393513513513498</v>
      </c>
      <c r="S29" s="33">
        <v>1.2829621621621601</v>
      </c>
      <c r="T29" s="31">
        <v>158117.276411481</v>
      </c>
      <c r="U29" s="30">
        <v>99.5</v>
      </c>
      <c r="V29" s="31">
        <v>2889</v>
      </c>
      <c r="W29" s="29"/>
      <c r="X29" s="34">
        <v>0.87</v>
      </c>
      <c r="Y29" s="34">
        <v>0.88500000000000001</v>
      </c>
      <c r="Z29" s="34">
        <v>0.89400000000000002</v>
      </c>
      <c r="AA29" s="34">
        <v>0.89600000000000002</v>
      </c>
      <c r="AB29" s="34">
        <v>0.88</v>
      </c>
      <c r="AC29" s="34">
        <v>0.89800000000000002</v>
      </c>
      <c r="AD29" s="34">
        <v>0.90400000000000003</v>
      </c>
      <c r="AE29" s="34">
        <v>0.58599999999999997</v>
      </c>
      <c r="AF29" s="34">
        <v>0.88600000000000001</v>
      </c>
      <c r="AG29" s="34">
        <v>0.90300000000000002</v>
      </c>
      <c r="AH29" s="34">
        <v>0.89300000000000002</v>
      </c>
      <c r="AI29" s="34">
        <v>0.89400000000000002</v>
      </c>
      <c r="AJ29" s="34">
        <v>0.89100000000000001</v>
      </c>
      <c r="AK29" s="34">
        <v>0.89100000000000001</v>
      </c>
      <c r="AL29" s="34">
        <v>0.90400000000000003</v>
      </c>
      <c r="AM29" s="34">
        <v>0.89100000000000001</v>
      </c>
      <c r="AN29" s="34">
        <v>0.88300000000000001</v>
      </c>
      <c r="AO29" s="34">
        <v>0.89800000000000002</v>
      </c>
      <c r="AP29" s="34">
        <v>0.88500000000000001</v>
      </c>
      <c r="AQ29" s="34">
        <v>0.89900000000000002</v>
      </c>
      <c r="AR29" s="34">
        <v>0.89400000000000002</v>
      </c>
      <c r="AS29" s="34">
        <v>0.89700000000000002</v>
      </c>
      <c r="AT29" s="34">
        <v>0.89300000000000002</v>
      </c>
      <c r="AU29" s="34">
        <v>0.89</v>
      </c>
      <c r="AV29" s="34">
        <v>0.86799999999999999</v>
      </c>
      <c r="AW29" s="34">
        <v>0.90700000000000003</v>
      </c>
      <c r="AX29" s="34">
        <v>0.89500000000000002</v>
      </c>
      <c r="AY29" s="34">
        <v>0.90100000000000002</v>
      </c>
      <c r="AZ29" s="34">
        <v>0.89400000000000002</v>
      </c>
      <c r="BA29" s="34">
        <v>0.91100000000000003</v>
      </c>
      <c r="BB29" s="34">
        <v>0.91900000000000004</v>
      </c>
      <c r="BC29" s="34">
        <v>0.89100000000000001</v>
      </c>
      <c r="BD29" s="34">
        <v>0.9</v>
      </c>
      <c r="BE29" s="34">
        <v>0.88200000000000001</v>
      </c>
      <c r="BF29" s="34">
        <v>0.86499999999999999</v>
      </c>
      <c r="BG29" s="34">
        <v>0.90500000000000003</v>
      </c>
      <c r="BH29" s="34">
        <v>0.89</v>
      </c>
      <c r="BI29" s="34">
        <v>0.88500000000000001</v>
      </c>
      <c r="BJ29" s="34">
        <v>0.89</v>
      </c>
      <c r="BK29" s="34">
        <v>0.89400000000000002</v>
      </c>
      <c r="BL29" s="34">
        <v>0.80700000000000005</v>
      </c>
      <c r="BM29" s="34">
        <v>0</v>
      </c>
      <c r="BN29" s="34"/>
      <c r="BO29" s="34"/>
      <c r="BP29" s="34"/>
    </row>
    <row r="30" spans="1:68" x14ac:dyDescent="0.25">
      <c r="A30" s="28" t="s">
        <v>231</v>
      </c>
      <c r="B30" s="29">
        <v>2</v>
      </c>
      <c r="C30" s="28" t="s">
        <v>231</v>
      </c>
      <c r="D30" s="30">
        <v>39.76</v>
      </c>
      <c r="E30" s="31">
        <v>0</v>
      </c>
      <c r="F30" s="30">
        <v>4.1500000000000004</v>
      </c>
      <c r="G30" s="30">
        <v>29.08</v>
      </c>
      <c r="H30" s="32">
        <v>175</v>
      </c>
      <c r="I30" s="30">
        <v>248</v>
      </c>
      <c r="J30" s="33">
        <v>0.89302499999999996</v>
      </c>
      <c r="K30" s="31">
        <v>107171.42221480601</v>
      </c>
      <c r="L30" s="31">
        <v>2097152</v>
      </c>
      <c r="M30" s="30">
        <v>3.1720999999999999</v>
      </c>
      <c r="N30" s="30">
        <v>8.83</v>
      </c>
      <c r="O30" s="30">
        <v>15.87</v>
      </c>
      <c r="P30" s="30">
        <v>51.14</v>
      </c>
      <c r="Q30" s="30">
        <v>62.83</v>
      </c>
      <c r="R30" s="33">
        <v>0.44174999999999998</v>
      </c>
      <c r="S30" s="33">
        <v>1.334775</v>
      </c>
      <c r="T30" s="31">
        <v>160184.798932087</v>
      </c>
      <c r="U30" s="30">
        <v>99.6</v>
      </c>
      <c r="V30" s="31">
        <v>2892</v>
      </c>
      <c r="W30" s="29"/>
      <c r="X30" s="34">
        <v>1.181</v>
      </c>
      <c r="Y30" s="34">
        <v>0.96899999999999997</v>
      </c>
      <c r="Z30" s="34">
        <v>0.99199999999999999</v>
      </c>
      <c r="AA30" s="34">
        <v>0.94299999999999995</v>
      </c>
      <c r="AB30" s="34">
        <v>0.90200000000000002</v>
      </c>
      <c r="AC30" s="34">
        <v>0.90200000000000002</v>
      </c>
      <c r="AD30" s="34">
        <v>0.90200000000000002</v>
      </c>
      <c r="AE30" s="34">
        <v>0.88500000000000001</v>
      </c>
      <c r="AF30" s="34">
        <v>0.88700000000000001</v>
      </c>
      <c r="AG30" s="34">
        <v>0.90400000000000003</v>
      </c>
      <c r="AH30" s="34">
        <v>0.90100000000000002</v>
      </c>
      <c r="AI30" s="34">
        <v>0.90600000000000003</v>
      </c>
      <c r="AJ30" s="34">
        <v>0.89500000000000002</v>
      </c>
      <c r="AK30" s="34">
        <v>0.88900000000000001</v>
      </c>
      <c r="AL30" s="34">
        <v>0.89</v>
      </c>
      <c r="AM30" s="34">
        <v>0.89</v>
      </c>
      <c r="AN30" s="34">
        <v>0.878</v>
      </c>
      <c r="AO30" s="34">
        <v>0.90500000000000003</v>
      </c>
      <c r="AP30" s="34">
        <v>0.89900000000000002</v>
      </c>
      <c r="AQ30" s="34">
        <v>0.90100000000000002</v>
      </c>
      <c r="AR30" s="34">
        <v>0.89</v>
      </c>
      <c r="AS30" s="34">
        <v>0.9</v>
      </c>
      <c r="AT30" s="34">
        <v>0.90900000000000003</v>
      </c>
      <c r="AU30" s="34">
        <v>0.88</v>
      </c>
      <c r="AV30" s="34">
        <v>0.89100000000000001</v>
      </c>
      <c r="AW30" s="34">
        <v>0.89900000000000002</v>
      </c>
      <c r="AX30" s="34">
        <v>0.88700000000000001</v>
      </c>
      <c r="AY30" s="34">
        <v>0.89400000000000002</v>
      </c>
      <c r="AZ30" s="34">
        <v>0.9</v>
      </c>
      <c r="BA30" s="34">
        <v>0.88300000000000001</v>
      </c>
      <c r="BB30" s="34">
        <v>0.9</v>
      </c>
      <c r="BC30" s="34">
        <v>0.88200000000000001</v>
      </c>
      <c r="BD30" s="34">
        <v>0.90700000000000003</v>
      </c>
      <c r="BE30" s="34">
        <v>0.875</v>
      </c>
      <c r="BF30" s="34">
        <v>0.89400000000000002</v>
      </c>
      <c r="BG30" s="34">
        <v>0.9</v>
      </c>
      <c r="BH30" s="34">
        <v>0.89900000000000002</v>
      </c>
      <c r="BI30" s="34">
        <v>0.89300000000000002</v>
      </c>
      <c r="BJ30" s="34">
        <v>0.89900000000000002</v>
      </c>
      <c r="BK30" s="34">
        <v>0.89800000000000002</v>
      </c>
      <c r="BL30" s="34">
        <v>0.83299999999999996</v>
      </c>
      <c r="BM30" s="34"/>
      <c r="BN30" s="34"/>
      <c r="BO30" s="34"/>
      <c r="BP30" s="34"/>
    </row>
    <row r="31" spans="1:68" x14ac:dyDescent="0.25">
      <c r="A31" s="28" t="s">
        <v>231</v>
      </c>
      <c r="B31" s="29">
        <v>3</v>
      </c>
      <c r="C31" s="28" t="s">
        <v>231</v>
      </c>
      <c r="D31" s="30">
        <v>39.75</v>
      </c>
      <c r="E31" s="31">
        <v>0</v>
      </c>
      <c r="F31" s="30">
        <v>5.24</v>
      </c>
      <c r="G31" s="30">
        <v>29.36</v>
      </c>
      <c r="H31" s="32">
        <v>178.31</v>
      </c>
      <c r="I31" s="30">
        <v>248.27</v>
      </c>
      <c r="J31" s="33">
        <v>0.885388888888889</v>
      </c>
      <c r="K31" s="31">
        <v>106263.23112026299</v>
      </c>
      <c r="L31" s="31">
        <v>512</v>
      </c>
      <c r="M31" s="30">
        <v>3.2837000000000001</v>
      </c>
      <c r="N31" s="30">
        <v>9.32</v>
      </c>
      <c r="O31" s="30">
        <v>15.97</v>
      </c>
      <c r="P31" s="30">
        <v>51.84</v>
      </c>
      <c r="Q31" s="30">
        <v>62.89</v>
      </c>
      <c r="R31" s="33">
        <v>0.43689722222222199</v>
      </c>
      <c r="S31" s="33">
        <v>1.3222861111111099</v>
      </c>
      <c r="T31" s="31">
        <v>158698.67549668899</v>
      </c>
      <c r="U31" s="30">
        <v>99.3</v>
      </c>
      <c r="V31" s="31">
        <v>2885</v>
      </c>
      <c r="W31" s="29"/>
      <c r="X31" s="34">
        <v>0.86199999999999999</v>
      </c>
      <c r="Y31" s="34">
        <v>0.89600000000000002</v>
      </c>
      <c r="Z31" s="34">
        <v>0.90100000000000002</v>
      </c>
      <c r="AA31" s="34">
        <v>0.89500000000000002</v>
      </c>
      <c r="AB31" s="34">
        <v>0.88700000000000001</v>
      </c>
      <c r="AC31" s="34">
        <v>0.88300000000000001</v>
      </c>
      <c r="AD31" s="34">
        <v>0.89</v>
      </c>
      <c r="AE31" s="34">
        <v>0.89300000000000002</v>
      </c>
      <c r="AF31" s="34">
        <v>0.88200000000000001</v>
      </c>
      <c r="AG31" s="34">
        <v>0.89700000000000002</v>
      </c>
      <c r="AH31" s="34">
        <v>0.875</v>
      </c>
      <c r="AI31" s="34">
        <v>0.88</v>
      </c>
      <c r="AJ31" s="34">
        <v>0.86899999999999999</v>
      </c>
      <c r="AK31" s="34">
        <v>0.89600000000000002</v>
      </c>
      <c r="AL31" s="34">
        <v>0.88700000000000001</v>
      </c>
      <c r="AM31" s="34">
        <v>0.86899999999999999</v>
      </c>
      <c r="AN31" s="34">
        <v>0.88800000000000001</v>
      </c>
      <c r="AO31" s="34">
        <v>0.89800000000000002</v>
      </c>
      <c r="AP31" s="34">
        <v>0.90300000000000002</v>
      </c>
      <c r="AQ31" s="34">
        <v>0.89400000000000002</v>
      </c>
      <c r="AR31" s="34">
        <v>0.89200000000000002</v>
      </c>
      <c r="AS31" s="34">
        <v>0.89300000000000002</v>
      </c>
      <c r="AT31" s="34">
        <v>0.88900000000000001</v>
      </c>
      <c r="AU31" s="34">
        <v>0.89700000000000002</v>
      </c>
      <c r="AV31" s="34">
        <v>0.874</v>
      </c>
      <c r="AW31" s="34">
        <v>0.85199999999999998</v>
      </c>
      <c r="AX31" s="34">
        <v>0.88800000000000001</v>
      </c>
      <c r="AY31" s="34">
        <v>0.872</v>
      </c>
      <c r="AZ31" s="34">
        <v>0.871</v>
      </c>
      <c r="BA31" s="34">
        <v>0.88100000000000001</v>
      </c>
      <c r="BB31" s="34">
        <v>0.89200000000000002</v>
      </c>
      <c r="BC31" s="34">
        <v>0.91300000000000003</v>
      </c>
      <c r="BD31" s="34">
        <v>0.90100000000000002</v>
      </c>
      <c r="BE31" s="34">
        <v>0.88800000000000001</v>
      </c>
      <c r="BF31" s="34">
        <v>0.89800000000000002</v>
      </c>
      <c r="BG31" s="34">
        <v>0.89200000000000002</v>
      </c>
      <c r="BH31" s="34">
        <v>0.89900000000000002</v>
      </c>
      <c r="BI31" s="34">
        <v>0.875</v>
      </c>
      <c r="BJ31" s="34">
        <v>0.89400000000000002</v>
      </c>
      <c r="BK31" s="34">
        <v>0.90300000000000002</v>
      </c>
      <c r="BL31" s="34">
        <v>0.80600000000000005</v>
      </c>
      <c r="BM31" s="34"/>
      <c r="BN31" s="34"/>
      <c r="BO31" s="34"/>
      <c r="BP31" s="34"/>
    </row>
    <row r="32" spans="1:68" x14ac:dyDescent="0.25">
      <c r="A32" s="16" t="s">
        <v>232</v>
      </c>
      <c r="B32" s="12">
        <v>1</v>
      </c>
      <c r="C32" s="16" t="s">
        <v>232</v>
      </c>
      <c r="D32" s="17">
        <v>44.99</v>
      </c>
      <c r="E32" s="18">
        <v>0</v>
      </c>
      <c r="F32" s="17">
        <v>5.0199999999999996</v>
      </c>
      <c r="G32" s="17">
        <v>30.02</v>
      </c>
      <c r="H32" s="19">
        <v>178.09</v>
      </c>
      <c r="I32" s="17">
        <v>248.21</v>
      </c>
      <c r="J32" s="20">
        <v>0.87505714285714298</v>
      </c>
      <c r="K32" s="18">
        <v>107481.856067068</v>
      </c>
      <c r="L32" s="18">
        <v>256</v>
      </c>
      <c r="M32" s="17">
        <v>3.5859999999999999</v>
      </c>
      <c r="N32" s="17">
        <v>9.4</v>
      </c>
      <c r="O32" s="17">
        <v>15.96</v>
      </c>
      <c r="P32" s="17">
        <v>52.39</v>
      </c>
      <c r="Q32" s="17">
        <v>62.94</v>
      </c>
      <c r="R32" s="20">
        <v>0.44087619047619098</v>
      </c>
      <c r="S32" s="20">
        <v>1.3159333333333301</v>
      </c>
      <c r="T32" s="18">
        <v>161634.26997782299</v>
      </c>
      <c r="U32" s="17">
        <v>99.5</v>
      </c>
      <c r="V32" s="18">
        <v>2890</v>
      </c>
      <c r="W32" s="12"/>
      <c r="X32" s="21">
        <v>0.86699999999999999</v>
      </c>
      <c r="Y32" s="21">
        <v>0.89200000000000002</v>
      </c>
      <c r="Z32" s="21">
        <v>0.90300000000000002</v>
      </c>
      <c r="AA32" s="21">
        <v>0.88700000000000001</v>
      </c>
      <c r="AB32" s="21">
        <v>0.90600000000000003</v>
      </c>
      <c r="AC32" s="21">
        <v>0.90300000000000002</v>
      </c>
      <c r="AD32" s="21">
        <v>0.89500000000000002</v>
      </c>
      <c r="AE32" s="21">
        <v>0.89200000000000002</v>
      </c>
      <c r="AF32" s="21">
        <v>0.88500000000000001</v>
      </c>
      <c r="AG32" s="21">
        <v>0.90300000000000002</v>
      </c>
      <c r="AH32" s="21">
        <v>0.89800000000000002</v>
      </c>
      <c r="AI32" s="21">
        <v>0.878</v>
      </c>
      <c r="AJ32" s="21">
        <v>0.89</v>
      </c>
      <c r="AK32" s="21">
        <v>0.90900000000000003</v>
      </c>
      <c r="AL32" s="21">
        <v>0.89100000000000001</v>
      </c>
      <c r="AM32" s="21">
        <v>0.89300000000000002</v>
      </c>
      <c r="AN32" s="21">
        <v>0.878</v>
      </c>
      <c r="AO32" s="21">
        <v>0.89500000000000002</v>
      </c>
      <c r="AP32" s="21">
        <v>0.88800000000000001</v>
      </c>
      <c r="AQ32" s="21">
        <v>0.88600000000000001</v>
      </c>
      <c r="AR32" s="21">
        <v>0.88500000000000001</v>
      </c>
      <c r="AS32" s="21">
        <v>0.86899999999999999</v>
      </c>
      <c r="AT32" s="21">
        <v>0.88600000000000001</v>
      </c>
      <c r="AU32" s="21">
        <v>0.90100000000000002</v>
      </c>
      <c r="AV32" s="21">
        <v>0.88700000000000001</v>
      </c>
      <c r="AW32" s="21">
        <v>0.89</v>
      </c>
      <c r="AX32" s="21">
        <v>0.90600000000000003</v>
      </c>
      <c r="AY32" s="21">
        <v>0.90200000000000002</v>
      </c>
      <c r="AZ32" s="21">
        <v>0.90700000000000003</v>
      </c>
      <c r="BA32" s="21">
        <v>0.89700000000000002</v>
      </c>
      <c r="BB32" s="21">
        <v>0.90500000000000003</v>
      </c>
      <c r="BC32" s="21">
        <v>0.9</v>
      </c>
      <c r="BD32" s="21">
        <v>0.90100000000000002</v>
      </c>
      <c r="BE32" s="21">
        <v>0.89100000000000001</v>
      </c>
      <c r="BF32" s="21">
        <v>0.89300000000000002</v>
      </c>
      <c r="BG32" s="21">
        <v>0.90600000000000003</v>
      </c>
      <c r="BH32" s="21">
        <v>0.9</v>
      </c>
      <c r="BI32" s="21">
        <v>0.89400000000000002</v>
      </c>
      <c r="BJ32" s="21">
        <v>0.89700000000000002</v>
      </c>
      <c r="BK32" s="21">
        <v>0.91100000000000003</v>
      </c>
      <c r="BL32" s="21">
        <v>0.89500000000000002</v>
      </c>
      <c r="BM32" s="21">
        <v>0.95699999999999996</v>
      </c>
      <c r="BN32" s="21">
        <v>0.89700000000000002</v>
      </c>
      <c r="BO32" s="21">
        <v>0.89400000000000002</v>
      </c>
      <c r="BP32" s="21">
        <v>0.9</v>
      </c>
    </row>
    <row r="33" spans="1:68" x14ac:dyDescent="0.25">
      <c r="A33" s="16" t="s">
        <v>232</v>
      </c>
      <c r="B33" s="12">
        <v>2</v>
      </c>
      <c r="C33" s="16" t="s">
        <v>232</v>
      </c>
      <c r="D33" s="17">
        <v>39.770000000000003</v>
      </c>
      <c r="E33" s="18">
        <v>0</v>
      </c>
      <c r="F33" s="17">
        <v>4.97</v>
      </c>
      <c r="G33" s="17">
        <v>29.71</v>
      </c>
      <c r="H33" s="19">
        <v>174.74</v>
      </c>
      <c r="I33" s="17">
        <v>247.87</v>
      </c>
      <c r="J33" s="20">
        <v>0.89442777777777804</v>
      </c>
      <c r="K33" s="18">
        <v>107357.880920465</v>
      </c>
      <c r="L33" s="18">
        <v>256</v>
      </c>
      <c r="M33" s="17">
        <v>3.4870999999999999</v>
      </c>
      <c r="N33" s="17">
        <v>9.52</v>
      </c>
      <c r="O33" s="17">
        <v>15.96</v>
      </c>
      <c r="P33" s="17">
        <v>52.34</v>
      </c>
      <c r="Q33" s="17">
        <v>62.91</v>
      </c>
      <c r="R33" s="20">
        <v>0.45173611111111101</v>
      </c>
      <c r="S33" s="20">
        <v>1.34616388888889</v>
      </c>
      <c r="T33" s="18">
        <v>161580.736148347</v>
      </c>
      <c r="U33" s="17">
        <v>99.6</v>
      </c>
      <c r="V33" s="18">
        <v>2891</v>
      </c>
      <c r="W33" s="12"/>
      <c r="X33" s="21">
        <v>0.88300000000000001</v>
      </c>
      <c r="Y33" s="21">
        <v>0.88800000000000001</v>
      </c>
      <c r="Z33" s="21">
        <v>0.88600000000000001</v>
      </c>
      <c r="AA33" s="21">
        <v>0.89700000000000002</v>
      </c>
      <c r="AB33" s="21">
        <v>0.877</v>
      </c>
      <c r="AC33" s="21">
        <v>0.9</v>
      </c>
      <c r="AD33" s="21">
        <v>0.90200000000000002</v>
      </c>
      <c r="AE33" s="21">
        <v>0.90900000000000003</v>
      </c>
      <c r="AF33" s="21">
        <v>0.89300000000000002</v>
      </c>
      <c r="AG33" s="21">
        <v>0.89100000000000001</v>
      </c>
      <c r="AH33" s="21">
        <v>0.89800000000000002</v>
      </c>
      <c r="AI33" s="21">
        <v>0.89200000000000002</v>
      </c>
      <c r="AJ33" s="21">
        <v>0.88200000000000001</v>
      </c>
      <c r="AK33" s="21">
        <v>0.89900000000000002</v>
      </c>
      <c r="AL33" s="21">
        <v>0.89200000000000002</v>
      </c>
      <c r="AM33" s="21">
        <v>0.89600000000000002</v>
      </c>
      <c r="AN33" s="21">
        <v>0.91200000000000003</v>
      </c>
      <c r="AO33" s="21">
        <v>0.89800000000000002</v>
      </c>
      <c r="AP33" s="21">
        <v>0.876</v>
      </c>
      <c r="AQ33" s="21">
        <v>0.89300000000000002</v>
      </c>
      <c r="AR33" s="21">
        <v>0.89200000000000002</v>
      </c>
      <c r="AS33" s="21">
        <v>0.90100000000000002</v>
      </c>
      <c r="AT33" s="21">
        <v>0.89800000000000002</v>
      </c>
      <c r="AU33" s="21">
        <v>0.89600000000000002</v>
      </c>
      <c r="AV33" s="21">
        <v>0.90300000000000002</v>
      </c>
      <c r="AW33" s="21">
        <v>0.88200000000000001</v>
      </c>
      <c r="AX33" s="21">
        <v>0.88800000000000001</v>
      </c>
      <c r="AY33" s="21">
        <v>0.89</v>
      </c>
      <c r="AZ33" s="21">
        <v>0.877</v>
      </c>
      <c r="BA33" s="21">
        <v>0.89600000000000002</v>
      </c>
      <c r="BB33" s="21">
        <v>0.88900000000000001</v>
      </c>
      <c r="BC33" s="21">
        <v>0.88200000000000001</v>
      </c>
      <c r="BD33" s="21">
        <v>0.90800000000000003</v>
      </c>
      <c r="BE33" s="21">
        <v>0.90200000000000002</v>
      </c>
      <c r="BF33" s="21">
        <v>0.90900000000000003</v>
      </c>
      <c r="BG33" s="21">
        <v>0.92200000000000004</v>
      </c>
      <c r="BH33" s="21">
        <v>0.90100000000000002</v>
      </c>
      <c r="BI33" s="21">
        <v>0.89300000000000002</v>
      </c>
      <c r="BJ33" s="21">
        <v>0.88400000000000001</v>
      </c>
      <c r="BK33" s="21">
        <v>0.9</v>
      </c>
      <c r="BL33" s="21">
        <v>0.85199999999999998</v>
      </c>
      <c r="BM33" s="21"/>
      <c r="BN33" s="21"/>
      <c r="BO33" s="21"/>
      <c r="BP33" s="21"/>
    </row>
    <row r="34" spans="1:68" x14ac:dyDescent="0.25">
      <c r="A34" s="16" t="s">
        <v>232</v>
      </c>
      <c r="B34" s="12">
        <v>3</v>
      </c>
      <c r="C34" s="16" t="s">
        <v>232</v>
      </c>
      <c r="D34" s="17">
        <v>39.76</v>
      </c>
      <c r="E34" s="18">
        <v>0</v>
      </c>
      <c r="F34" s="17">
        <v>5</v>
      </c>
      <c r="G34" s="17">
        <v>29.66</v>
      </c>
      <c r="H34" s="19">
        <v>176.43</v>
      </c>
      <c r="I34" s="17">
        <v>248.06</v>
      </c>
      <c r="J34" s="20">
        <v>0.89375555555555597</v>
      </c>
      <c r="K34" s="18">
        <v>107291.050605367</v>
      </c>
      <c r="L34" s="18">
        <v>512</v>
      </c>
      <c r="M34" s="17">
        <v>3.4773000000000001</v>
      </c>
      <c r="N34" s="17">
        <v>9.5399999999999991</v>
      </c>
      <c r="O34" s="17">
        <v>15.96</v>
      </c>
      <c r="P34" s="17">
        <v>52.51</v>
      </c>
      <c r="Q34" s="17">
        <v>62.96</v>
      </c>
      <c r="R34" s="20">
        <v>0.45163611111111102</v>
      </c>
      <c r="S34" s="20">
        <v>1.3453916666666701</v>
      </c>
      <c r="T34" s="18">
        <v>161512.41421637</v>
      </c>
      <c r="U34" s="17">
        <v>99.4</v>
      </c>
      <c r="V34" s="18">
        <v>2886</v>
      </c>
      <c r="W34" s="12"/>
      <c r="X34" s="21">
        <v>0.86799999999999999</v>
      </c>
      <c r="Y34" s="21">
        <v>0.89200000000000002</v>
      </c>
      <c r="Z34" s="21">
        <v>0.90400000000000003</v>
      </c>
      <c r="AA34" s="21">
        <v>0.89700000000000002</v>
      </c>
      <c r="AB34" s="21">
        <v>0.89600000000000002</v>
      </c>
      <c r="AC34" s="21">
        <v>0.90800000000000003</v>
      </c>
      <c r="AD34" s="21">
        <v>0.89400000000000002</v>
      </c>
      <c r="AE34" s="21">
        <v>0.91200000000000003</v>
      </c>
      <c r="AF34" s="21">
        <v>0.875</v>
      </c>
      <c r="AG34" s="21">
        <v>0.90600000000000003</v>
      </c>
      <c r="AH34" s="21">
        <v>0.90600000000000003</v>
      </c>
      <c r="AI34" s="21">
        <v>0.88800000000000001</v>
      </c>
      <c r="AJ34" s="21">
        <v>0.88500000000000001</v>
      </c>
      <c r="AK34" s="21">
        <v>0.9</v>
      </c>
      <c r="AL34" s="21">
        <v>0.90100000000000002</v>
      </c>
      <c r="AM34" s="21">
        <v>0.90600000000000003</v>
      </c>
      <c r="AN34" s="21">
        <v>0.9</v>
      </c>
      <c r="AO34" s="21">
        <v>0.88900000000000001</v>
      </c>
      <c r="AP34" s="21">
        <v>0.90600000000000003</v>
      </c>
      <c r="AQ34" s="21">
        <v>0.90900000000000003</v>
      </c>
      <c r="AR34" s="21">
        <v>0.90200000000000002</v>
      </c>
      <c r="AS34" s="21">
        <v>0.88700000000000001</v>
      </c>
      <c r="AT34" s="21">
        <v>0.88300000000000001</v>
      </c>
      <c r="AU34" s="21">
        <v>0.90700000000000003</v>
      </c>
      <c r="AV34" s="21">
        <v>0.88300000000000001</v>
      </c>
      <c r="AW34" s="21">
        <v>0.877</v>
      </c>
      <c r="AX34" s="21">
        <v>0.91100000000000003</v>
      </c>
      <c r="AY34" s="21">
        <v>0.89300000000000002</v>
      </c>
      <c r="AZ34" s="21">
        <v>0.90200000000000002</v>
      </c>
      <c r="BA34" s="21">
        <v>0.89300000000000002</v>
      </c>
      <c r="BB34" s="21">
        <v>0.89200000000000002</v>
      </c>
      <c r="BC34" s="21">
        <v>0.89400000000000002</v>
      </c>
      <c r="BD34" s="21">
        <v>0.88</v>
      </c>
      <c r="BE34" s="21">
        <v>0.88800000000000001</v>
      </c>
      <c r="BF34" s="21">
        <v>0.9</v>
      </c>
      <c r="BG34" s="21">
        <v>0.90300000000000002</v>
      </c>
      <c r="BH34" s="21">
        <v>0.89400000000000002</v>
      </c>
      <c r="BI34" s="21">
        <v>0.88500000000000001</v>
      </c>
      <c r="BJ34" s="21">
        <v>0.89500000000000002</v>
      </c>
      <c r="BK34" s="21">
        <v>0.90500000000000003</v>
      </c>
      <c r="BL34" s="21">
        <v>0.81499999999999995</v>
      </c>
      <c r="BM34" s="21"/>
      <c r="BN34" s="21"/>
      <c r="BO34" s="21"/>
      <c r="BP34" s="21"/>
    </row>
    <row r="35" spans="1:68" x14ac:dyDescent="0.25">
      <c r="A35" s="28" t="s">
        <v>233</v>
      </c>
      <c r="B35" s="29">
        <v>1</v>
      </c>
      <c r="C35" s="28" t="s">
        <v>233</v>
      </c>
      <c r="D35" s="30">
        <v>45.04</v>
      </c>
      <c r="E35" s="31">
        <v>0</v>
      </c>
      <c r="F35" s="30">
        <v>5.27</v>
      </c>
      <c r="G35" s="30">
        <v>29.89</v>
      </c>
      <c r="H35" s="32">
        <v>179.06</v>
      </c>
      <c r="I35" s="30">
        <v>248.36</v>
      </c>
      <c r="J35" s="33">
        <v>0.87847142857142901</v>
      </c>
      <c r="K35" s="31">
        <v>106306.35136447501</v>
      </c>
      <c r="L35" s="31">
        <v>512</v>
      </c>
      <c r="M35" s="30">
        <v>3.4579</v>
      </c>
      <c r="N35" s="30">
        <v>9.18</v>
      </c>
      <c r="O35" s="30">
        <v>16.18</v>
      </c>
      <c r="P35" s="30">
        <v>53.1</v>
      </c>
      <c r="Q35" s="30">
        <v>63.01</v>
      </c>
      <c r="R35" s="33">
        <v>0.43368333333333298</v>
      </c>
      <c r="S35" s="33">
        <v>1.31215476190476</v>
      </c>
      <c r="T35" s="31">
        <v>158793.94483830201</v>
      </c>
      <c r="U35" s="30">
        <v>99.4</v>
      </c>
      <c r="V35" s="31">
        <v>2886</v>
      </c>
      <c r="W35" s="29"/>
      <c r="X35" s="34">
        <v>0.86099999999999999</v>
      </c>
      <c r="Y35" s="34">
        <v>0.89600000000000002</v>
      </c>
      <c r="Z35" s="34">
        <v>0.91</v>
      </c>
      <c r="AA35" s="34">
        <v>0.89900000000000002</v>
      </c>
      <c r="AB35" s="34">
        <v>0.874</v>
      </c>
      <c r="AC35" s="34">
        <v>0.90500000000000003</v>
      </c>
      <c r="AD35" s="34">
        <v>0.879</v>
      </c>
      <c r="AE35" s="34">
        <v>0.88300000000000001</v>
      </c>
      <c r="AF35" s="34">
        <v>0.90500000000000003</v>
      </c>
      <c r="AG35" s="34">
        <v>0.89200000000000002</v>
      </c>
      <c r="AH35" s="34">
        <v>0.90600000000000003</v>
      </c>
      <c r="AI35" s="34">
        <v>0.88400000000000001</v>
      </c>
      <c r="AJ35" s="34">
        <v>0.871</v>
      </c>
      <c r="AK35" s="34">
        <v>0.90100000000000002</v>
      </c>
      <c r="AL35" s="34">
        <v>0.89400000000000002</v>
      </c>
      <c r="AM35" s="34">
        <v>0.88900000000000001</v>
      </c>
      <c r="AN35" s="34">
        <v>0.88900000000000001</v>
      </c>
      <c r="AO35" s="34">
        <v>0.86799999999999999</v>
      </c>
      <c r="AP35" s="34">
        <v>0.88800000000000001</v>
      </c>
      <c r="AQ35" s="34">
        <v>0.9</v>
      </c>
      <c r="AR35" s="34">
        <v>0.88300000000000001</v>
      </c>
      <c r="AS35" s="34">
        <v>0.91100000000000003</v>
      </c>
      <c r="AT35" s="34">
        <v>0.877</v>
      </c>
      <c r="AU35" s="34">
        <v>0.89100000000000001</v>
      </c>
      <c r="AV35" s="34">
        <v>0.89300000000000002</v>
      </c>
      <c r="AW35" s="34">
        <v>0.88500000000000001</v>
      </c>
      <c r="AX35" s="34">
        <v>0.89700000000000002</v>
      </c>
      <c r="AY35" s="34">
        <v>0.86299999999999999</v>
      </c>
      <c r="AZ35" s="34">
        <v>0.88600000000000001</v>
      </c>
      <c r="BA35" s="34">
        <v>0.90600000000000003</v>
      </c>
      <c r="BB35" s="34">
        <v>0.9</v>
      </c>
      <c r="BC35" s="34">
        <v>0.90400000000000003</v>
      </c>
      <c r="BD35" s="34">
        <v>0.91300000000000003</v>
      </c>
      <c r="BE35" s="34">
        <v>0.878</v>
      </c>
      <c r="BF35" s="34">
        <v>0.89300000000000002</v>
      </c>
      <c r="BG35" s="34">
        <v>0.89400000000000002</v>
      </c>
      <c r="BH35" s="34">
        <v>0.90200000000000002</v>
      </c>
      <c r="BI35" s="34">
        <v>0.89500000000000002</v>
      </c>
      <c r="BJ35" s="34">
        <v>0.85499999999999998</v>
      </c>
      <c r="BK35" s="34">
        <v>0.873</v>
      </c>
      <c r="BL35" s="34">
        <v>0.88800000000000001</v>
      </c>
      <c r="BM35" s="34">
        <v>0.87</v>
      </c>
      <c r="BN35" s="34">
        <v>0.85899999999999999</v>
      </c>
      <c r="BO35" s="34">
        <v>0.88500000000000001</v>
      </c>
      <c r="BP35" s="34">
        <v>0.876</v>
      </c>
    </row>
    <row r="36" spans="1:68" x14ac:dyDescent="0.25">
      <c r="A36" s="28" t="s">
        <v>233</v>
      </c>
      <c r="B36" s="29">
        <v>2</v>
      </c>
      <c r="C36" s="28" t="s">
        <v>233</v>
      </c>
      <c r="D36" s="30">
        <v>39.770000000000003</v>
      </c>
      <c r="E36" s="31">
        <v>0</v>
      </c>
      <c r="F36" s="30">
        <v>5.28</v>
      </c>
      <c r="G36" s="30">
        <v>29.74</v>
      </c>
      <c r="H36" s="32">
        <v>179.37</v>
      </c>
      <c r="I36" s="30">
        <v>248.54</v>
      </c>
      <c r="J36" s="33">
        <v>0.88935833333333303</v>
      </c>
      <c r="K36" s="31">
        <v>106769.977678571</v>
      </c>
      <c r="L36" s="31">
        <v>512</v>
      </c>
      <c r="M36" s="30">
        <v>3.4024000000000001</v>
      </c>
      <c r="N36" s="30">
        <v>9.23</v>
      </c>
      <c r="O36" s="30">
        <v>16.23</v>
      </c>
      <c r="P36" s="30">
        <v>52.93</v>
      </c>
      <c r="Q36" s="30">
        <v>63.01</v>
      </c>
      <c r="R36" s="33">
        <v>0.43811388888888902</v>
      </c>
      <c r="S36" s="33">
        <v>1.3274722222222199</v>
      </c>
      <c r="T36" s="31">
        <v>159367.52232142899</v>
      </c>
      <c r="U36" s="30">
        <v>99.5</v>
      </c>
      <c r="V36" s="31">
        <v>2889</v>
      </c>
      <c r="W36" s="29"/>
      <c r="X36" s="34">
        <v>0.88</v>
      </c>
      <c r="Y36" s="34">
        <v>0.89700000000000002</v>
      </c>
      <c r="Z36" s="34">
        <v>0.89300000000000002</v>
      </c>
      <c r="AA36" s="34">
        <v>0.90800000000000003</v>
      </c>
      <c r="AB36" s="34">
        <v>0.88100000000000001</v>
      </c>
      <c r="AC36" s="34">
        <v>0.89300000000000002</v>
      </c>
      <c r="AD36" s="34">
        <v>0.91500000000000004</v>
      </c>
      <c r="AE36" s="34">
        <v>0.89100000000000001</v>
      </c>
      <c r="AF36" s="34">
        <v>0.88700000000000001</v>
      </c>
      <c r="AG36" s="34">
        <v>0.89300000000000002</v>
      </c>
      <c r="AH36" s="34">
        <v>0.90100000000000002</v>
      </c>
      <c r="AI36" s="34">
        <v>0.90100000000000002</v>
      </c>
      <c r="AJ36" s="34">
        <v>0.88600000000000001</v>
      </c>
      <c r="AK36" s="34">
        <v>0.89800000000000002</v>
      </c>
      <c r="AL36" s="34">
        <v>0.89600000000000002</v>
      </c>
      <c r="AM36" s="34">
        <v>0.88400000000000001</v>
      </c>
      <c r="AN36" s="34">
        <v>0.88200000000000001</v>
      </c>
      <c r="AO36" s="34">
        <v>0.89500000000000002</v>
      </c>
      <c r="AP36" s="34">
        <v>0.89100000000000001</v>
      </c>
      <c r="AQ36" s="34">
        <v>0.89</v>
      </c>
      <c r="AR36" s="34">
        <v>0.88200000000000001</v>
      </c>
      <c r="AS36" s="34">
        <v>0.879</v>
      </c>
      <c r="AT36" s="34">
        <v>0.89900000000000002</v>
      </c>
      <c r="AU36" s="34">
        <v>0.88200000000000001</v>
      </c>
      <c r="AV36" s="34">
        <v>0.88900000000000001</v>
      </c>
      <c r="AW36" s="34">
        <v>0.879</v>
      </c>
      <c r="AX36" s="34">
        <v>0.88100000000000001</v>
      </c>
      <c r="AY36" s="34">
        <v>0.90100000000000002</v>
      </c>
      <c r="AZ36" s="34">
        <v>0.89200000000000002</v>
      </c>
      <c r="BA36" s="34">
        <v>0.89100000000000001</v>
      </c>
      <c r="BB36" s="34">
        <v>0.90600000000000003</v>
      </c>
      <c r="BC36" s="34">
        <v>0.90500000000000003</v>
      </c>
      <c r="BD36" s="34">
        <v>0.89500000000000002</v>
      </c>
      <c r="BE36" s="34">
        <v>0.88900000000000001</v>
      </c>
      <c r="BF36" s="34">
        <v>0.879</v>
      </c>
      <c r="BG36" s="34">
        <v>0.92800000000000005</v>
      </c>
      <c r="BH36" s="34">
        <v>0.879</v>
      </c>
      <c r="BI36" s="34">
        <v>0.85299999999999998</v>
      </c>
      <c r="BJ36" s="34">
        <v>0.90900000000000003</v>
      </c>
      <c r="BK36" s="34">
        <v>0.88900000000000001</v>
      </c>
      <c r="BL36" s="34">
        <v>0.80400000000000005</v>
      </c>
      <c r="BM36" s="34"/>
      <c r="BN36" s="34"/>
      <c r="BO36" s="34"/>
      <c r="BP36" s="34"/>
    </row>
    <row r="37" spans="1:68" x14ac:dyDescent="0.25">
      <c r="A37" s="28" t="s">
        <v>233</v>
      </c>
      <c r="B37" s="29">
        <v>3</v>
      </c>
      <c r="C37" s="28" t="s">
        <v>233</v>
      </c>
      <c r="D37" s="30">
        <v>39.76</v>
      </c>
      <c r="E37" s="31">
        <v>0</v>
      </c>
      <c r="F37" s="30">
        <v>3.6</v>
      </c>
      <c r="G37" s="30">
        <v>29.35</v>
      </c>
      <c r="H37" s="32">
        <v>173.83</v>
      </c>
      <c r="I37" s="30">
        <v>247.82</v>
      </c>
      <c r="J37" s="33">
        <v>0.899911111111111</v>
      </c>
      <c r="K37" s="31">
        <v>108042.849177586</v>
      </c>
      <c r="L37" s="31">
        <v>512</v>
      </c>
      <c r="M37" s="30">
        <v>3.2279</v>
      </c>
      <c r="N37" s="30">
        <v>8.26</v>
      </c>
      <c r="O37" s="30">
        <v>15.84</v>
      </c>
      <c r="P37" s="30">
        <v>51.95</v>
      </c>
      <c r="Q37" s="30">
        <v>62.97</v>
      </c>
      <c r="R37" s="33">
        <v>0.44954722222222199</v>
      </c>
      <c r="S37" s="33">
        <v>1.3494583333333301</v>
      </c>
      <c r="T37" s="31">
        <v>162017.11736827399</v>
      </c>
      <c r="U37" s="30">
        <v>99.5</v>
      </c>
      <c r="V37" s="31">
        <v>2889</v>
      </c>
      <c r="W37" s="29"/>
      <c r="X37" s="34">
        <v>0.86099999999999999</v>
      </c>
      <c r="Y37" s="34">
        <v>0.88800000000000001</v>
      </c>
      <c r="Z37" s="34">
        <v>0.90200000000000002</v>
      </c>
      <c r="AA37" s="34">
        <v>0.88700000000000001</v>
      </c>
      <c r="AB37" s="34">
        <v>0.88200000000000001</v>
      </c>
      <c r="AC37" s="34">
        <v>0.89700000000000002</v>
      </c>
      <c r="AD37" s="34">
        <v>0.89300000000000002</v>
      </c>
      <c r="AE37" s="34">
        <v>0.89900000000000002</v>
      </c>
      <c r="AF37" s="34">
        <v>0.88200000000000001</v>
      </c>
      <c r="AG37" s="34">
        <v>0.89400000000000002</v>
      </c>
      <c r="AH37" s="34">
        <v>0.89800000000000002</v>
      </c>
      <c r="AI37" s="34">
        <v>0.90100000000000002</v>
      </c>
      <c r="AJ37" s="34">
        <v>0.88500000000000001</v>
      </c>
      <c r="AK37" s="34">
        <v>0.89600000000000002</v>
      </c>
      <c r="AL37" s="34">
        <v>0.89100000000000001</v>
      </c>
      <c r="AM37" s="34">
        <v>0.90600000000000003</v>
      </c>
      <c r="AN37" s="34">
        <v>0.88800000000000001</v>
      </c>
      <c r="AO37" s="34">
        <v>0.86599999999999999</v>
      </c>
      <c r="AP37" s="34">
        <v>0.91100000000000003</v>
      </c>
      <c r="AQ37" s="34">
        <v>0.89500000000000002</v>
      </c>
      <c r="AR37" s="34">
        <v>0.89500000000000002</v>
      </c>
      <c r="AS37" s="34">
        <v>0.88500000000000001</v>
      </c>
      <c r="AT37" s="34">
        <v>0.89100000000000001</v>
      </c>
      <c r="AU37" s="34">
        <v>0.90600000000000003</v>
      </c>
      <c r="AV37" s="34">
        <v>0.88300000000000001</v>
      </c>
      <c r="AW37" s="34">
        <v>0.88300000000000001</v>
      </c>
      <c r="AX37" s="34">
        <v>0.90300000000000002</v>
      </c>
      <c r="AY37" s="34">
        <v>0.86899999999999999</v>
      </c>
      <c r="AZ37" s="34">
        <v>0.89100000000000001</v>
      </c>
      <c r="BA37" s="34">
        <v>0.86199999999999999</v>
      </c>
      <c r="BB37" s="34">
        <v>0.88500000000000001</v>
      </c>
      <c r="BC37" s="34">
        <v>0.91900000000000004</v>
      </c>
      <c r="BD37" s="34">
        <v>0.90500000000000003</v>
      </c>
      <c r="BE37" s="34">
        <v>0.94499999999999995</v>
      </c>
      <c r="BF37" s="34">
        <v>0.99199999999999999</v>
      </c>
      <c r="BG37" s="34">
        <v>0.97599999999999998</v>
      </c>
      <c r="BH37" s="34">
        <v>0.95699999999999996</v>
      </c>
      <c r="BI37" s="34">
        <v>0.92900000000000005</v>
      </c>
      <c r="BJ37" s="34">
        <v>0.93400000000000005</v>
      </c>
      <c r="BK37" s="34">
        <v>0.90200000000000002</v>
      </c>
      <c r="BL37" s="34">
        <v>0.77600000000000002</v>
      </c>
      <c r="BM37" s="34"/>
      <c r="BN37" s="34"/>
      <c r="BO37" s="34"/>
      <c r="BP37" s="34"/>
    </row>
    <row r="38" spans="1:68" x14ac:dyDescent="0.25">
      <c r="A38" s="16" t="s">
        <v>234</v>
      </c>
      <c r="B38" s="12">
        <v>1</v>
      </c>
      <c r="C38" s="16" t="s">
        <v>234</v>
      </c>
      <c r="D38" s="17">
        <v>40.520000000000003</v>
      </c>
      <c r="E38" s="18">
        <v>0</v>
      </c>
      <c r="F38" s="17">
        <v>3.93</v>
      </c>
      <c r="G38" s="17">
        <v>28.76</v>
      </c>
      <c r="H38" s="19">
        <v>173.96</v>
      </c>
      <c r="I38" s="17">
        <v>247.82</v>
      </c>
      <c r="J38" s="20">
        <v>0.77859459459459501</v>
      </c>
      <c r="K38" s="18">
        <v>93504.282800815796</v>
      </c>
      <c r="L38" s="18">
        <v>512</v>
      </c>
      <c r="M38" s="17">
        <v>3.4954999999999998</v>
      </c>
      <c r="N38" s="17">
        <v>8.82</v>
      </c>
      <c r="O38" s="17">
        <v>15.95</v>
      </c>
      <c r="P38" s="17">
        <v>53.26</v>
      </c>
      <c r="Q38" s="17">
        <v>63.05</v>
      </c>
      <c r="R38" s="20">
        <v>0.40294324324324299</v>
      </c>
      <c r="S38" s="20">
        <v>1.1815378378378401</v>
      </c>
      <c r="T38" s="18">
        <v>141883.834126445</v>
      </c>
      <c r="U38" s="17">
        <v>99.6</v>
      </c>
      <c r="V38" s="18">
        <v>2893</v>
      </c>
      <c r="W38" s="12"/>
      <c r="X38" s="21">
        <v>0.745</v>
      </c>
      <c r="Y38" s="21">
        <v>0.76200000000000001</v>
      </c>
      <c r="Z38" s="21">
        <v>0.76400000000000001</v>
      </c>
      <c r="AA38" s="21">
        <v>0.81100000000000005</v>
      </c>
      <c r="AB38" s="21">
        <v>0.78900000000000003</v>
      </c>
      <c r="AC38" s="21">
        <v>0.76600000000000001</v>
      </c>
      <c r="AD38" s="21">
        <v>0.754</v>
      </c>
      <c r="AE38" s="21">
        <v>0.78</v>
      </c>
      <c r="AF38" s="21">
        <v>0.79500000000000004</v>
      </c>
      <c r="AG38" s="21">
        <v>0.77</v>
      </c>
      <c r="AH38" s="21">
        <v>0.76200000000000001</v>
      </c>
      <c r="AI38" s="21">
        <v>0.79400000000000004</v>
      </c>
      <c r="AJ38" s="21">
        <v>0.8</v>
      </c>
      <c r="AK38" s="21">
        <v>0.77900000000000003</v>
      </c>
      <c r="AL38" s="21">
        <v>0.76500000000000001</v>
      </c>
      <c r="AM38" s="21">
        <v>0.77300000000000002</v>
      </c>
      <c r="AN38" s="21">
        <v>0.80400000000000005</v>
      </c>
      <c r="AO38" s="21">
        <v>0.77600000000000002</v>
      </c>
      <c r="AP38" s="21">
        <v>0.76500000000000001</v>
      </c>
      <c r="AQ38" s="21">
        <v>0.79400000000000004</v>
      </c>
      <c r="AR38" s="21">
        <v>0.77300000000000002</v>
      </c>
      <c r="AS38" s="21">
        <v>0.79200000000000004</v>
      </c>
      <c r="AT38" s="21">
        <v>0.755</v>
      </c>
      <c r="AU38" s="21">
        <v>0.78800000000000003</v>
      </c>
      <c r="AV38" s="21">
        <v>0.80300000000000005</v>
      </c>
      <c r="AW38" s="21">
        <v>0.75600000000000001</v>
      </c>
      <c r="AX38" s="21">
        <v>0.76300000000000001</v>
      </c>
      <c r="AY38" s="21">
        <v>0.80200000000000005</v>
      </c>
      <c r="AZ38" s="21">
        <v>0.79600000000000004</v>
      </c>
      <c r="BA38" s="21">
        <v>0.80300000000000005</v>
      </c>
      <c r="BB38" s="21">
        <v>0.76</v>
      </c>
      <c r="BC38" s="21">
        <v>0.77700000000000002</v>
      </c>
      <c r="BD38" s="21">
        <v>0.80300000000000005</v>
      </c>
      <c r="BE38" s="21">
        <v>0.79500000000000004</v>
      </c>
      <c r="BF38" s="21">
        <v>0.754</v>
      </c>
      <c r="BG38" s="21">
        <v>0.79500000000000004</v>
      </c>
      <c r="BH38" s="21">
        <v>0.78900000000000003</v>
      </c>
      <c r="BI38" s="21">
        <v>0.79200000000000004</v>
      </c>
      <c r="BJ38" s="21">
        <v>0.79500000000000004</v>
      </c>
      <c r="BK38" s="21">
        <v>0.76100000000000001</v>
      </c>
      <c r="BL38" s="21">
        <v>0.79900000000000004</v>
      </c>
      <c r="BM38" s="21">
        <v>0.68</v>
      </c>
      <c r="BN38" s="21"/>
      <c r="BO38" s="21"/>
      <c r="BP38" s="21"/>
    </row>
    <row r="39" spans="1:68" x14ac:dyDescent="0.25">
      <c r="A39" s="16" t="s">
        <v>234</v>
      </c>
      <c r="B39" s="12">
        <v>2</v>
      </c>
      <c r="C39" s="16" t="s">
        <v>234</v>
      </c>
      <c r="D39" s="17">
        <v>39.75</v>
      </c>
      <c r="E39" s="18">
        <v>0</v>
      </c>
      <c r="F39" s="17">
        <v>4.03</v>
      </c>
      <c r="G39" s="17">
        <v>28.83</v>
      </c>
      <c r="H39" s="19">
        <v>179.95</v>
      </c>
      <c r="I39" s="17">
        <v>248.39</v>
      </c>
      <c r="J39" s="20">
        <v>0.78349999999999997</v>
      </c>
      <c r="K39" s="18">
        <v>94031.8326005899</v>
      </c>
      <c r="L39" s="18">
        <v>256</v>
      </c>
      <c r="M39" s="17">
        <v>3.2353999999999998</v>
      </c>
      <c r="N39" s="17">
        <v>8.9</v>
      </c>
      <c r="O39" s="17">
        <v>15.91</v>
      </c>
      <c r="P39" s="17">
        <v>53.2</v>
      </c>
      <c r="Q39" s="17">
        <v>63.01</v>
      </c>
      <c r="R39" s="20">
        <v>0.40468055555555599</v>
      </c>
      <c r="S39" s="20">
        <v>1.18818055555556</v>
      </c>
      <c r="T39" s="18">
        <v>142595.94301296701</v>
      </c>
      <c r="U39" s="17">
        <v>99.6</v>
      </c>
      <c r="V39" s="18">
        <v>2891</v>
      </c>
      <c r="W39" s="12"/>
      <c r="X39" s="21">
        <v>0.73299999999999998</v>
      </c>
      <c r="Y39" s="21">
        <v>0.76500000000000001</v>
      </c>
      <c r="Z39" s="21">
        <v>0.77400000000000002</v>
      </c>
      <c r="AA39" s="21">
        <v>0.77200000000000002</v>
      </c>
      <c r="AB39" s="21">
        <v>0.76400000000000001</v>
      </c>
      <c r="AC39" s="21">
        <v>0.77900000000000003</v>
      </c>
      <c r="AD39" s="21">
        <v>0.79100000000000004</v>
      </c>
      <c r="AE39" s="21">
        <v>0.80800000000000005</v>
      </c>
      <c r="AF39" s="21">
        <v>0.75700000000000001</v>
      </c>
      <c r="AG39" s="21">
        <v>0.79900000000000004</v>
      </c>
      <c r="AH39" s="21">
        <v>0.79600000000000004</v>
      </c>
      <c r="AI39" s="21">
        <v>0.78700000000000003</v>
      </c>
      <c r="AJ39" s="21">
        <v>0.76900000000000002</v>
      </c>
      <c r="AK39" s="21">
        <v>0.80500000000000005</v>
      </c>
      <c r="AL39" s="21">
        <v>0.78700000000000003</v>
      </c>
      <c r="AM39" s="21">
        <v>0.79100000000000004</v>
      </c>
      <c r="AN39" s="21">
        <v>0.74</v>
      </c>
      <c r="AO39" s="21">
        <v>0.78800000000000003</v>
      </c>
      <c r="AP39" s="21">
        <v>0.79400000000000004</v>
      </c>
      <c r="AQ39" s="21">
        <v>0.78800000000000003</v>
      </c>
      <c r="AR39" s="21">
        <v>0.78</v>
      </c>
      <c r="AS39" s="21">
        <v>0.76900000000000002</v>
      </c>
      <c r="AT39" s="21">
        <v>0.78500000000000003</v>
      </c>
      <c r="AU39" s="21">
        <v>0.80900000000000005</v>
      </c>
      <c r="AV39" s="21">
        <v>0.77300000000000002</v>
      </c>
      <c r="AW39" s="21">
        <v>0.76800000000000002</v>
      </c>
      <c r="AX39" s="21">
        <v>0.79500000000000004</v>
      </c>
      <c r="AY39" s="21">
        <v>0.79400000000000004</v>
      </c>
      <c r="AZ39" s="21">
        <v>0.79900000000000004</v>
      </c>
      <c r="BA39" s="21">
        <v>0.76600000000000001</v>
      </c>
      <c r="BB39" s="21">
        <v>0.78800000000000003</v>
      </c>
      <c r="BC39" s="21">
        <v>0.80900000000000005</v>
      </c>
      <c r="BD39" s="21">
        <v>0.77500000000000002</v>
      </c>
      <c r="BE39" s="21">
        <v>0.76300000000000001</v>
      </c>
      <c r="BF39" s="21">
        <v>0.80500000000000005</v>
      </c>
      <c r="BG39" s="21">
        <v>0.78100000000000003</v>
      </c>
      <c r="BH39" s="21">
        <v>0.78300000000000003</v>
      </c>
      <c r="BI39" s="21">
        <v>0.76100000000000001</v>
      </c>
      <c r="BJ39" s="21">
        <v>0.80300000000000005</v>
      </c>
      <c r="BK39" s="21">
        <v>0.79600000000000004</v>
      </c>
      <c r="BL39" s="21">
        <v>0.72699999999999998</v>
      </c>
      <c r="BM39" s="21"/>
      <c r="BN39" s="21"/>
      <c r="BO39" s="21"/>
      <c r="BP39" s="21"/>
    </row>
    <row r="40" spans="1:68" x14ac:dyDescent="0.25">
      <c r="A40" s="16" t="s">
        <v>234</v>
      </c>
      <c r="B40" s="12">
        <v>3</v>
      </c>
      <c r="C40" s="16" t="s">
        <v>234</v>
      </c>
      <c r="D40" s="17">
        <v>39.72</v>
      </c>
      <c r="E40" s="18">
        <v>0</v>
      </c>
      <c r="F40" s="17">
        <v>4</v>
      </c>
      <c r="G40" s="17">
        <v>28.69</v>
      </c>
      <c r="H40" s="19">
        <v>179.18</v>
      </c>
      <c r="I40" s="17">
        <v>248.34</v>
      </c>
      <c r="J40" s="20">
        <v>0.78269722222222204</v>
      </c>
      <c r="K40" s="18">
        <v>93942.538020166001</v>
      </c>
      <c r="L40" s="18">
        <v>512</v>
      </c>
      <c r="M40" s="17">
        <v>3.2627999999999999</v>
      </c>
      <c r="N40" s="17">
        <v>8.89</v>
      </c>
      <c r="O40" s="17">
        <v>15.92</v>
      </c>
      <c r="P40" s="17">
        <v>53</v>
      </c>
      <c r="Q40" s="17">
        <v>63.01</v>
      </c>
      <c r="R40" s="20">
        <v>0.40430555555555597</v>
      </c>
      <c r="S40" s="20">
        <v>1.1870027777777801</v>
      </c>
      <c r="T40" s="18">
        <v>142460.33647150599</v>
      </c>
      <c r="U40" s="17">
        <v>99.4</v>
      </c>
      <c r="V40" s="18">
        <v>2888</v>
      </c>
      <c r="W40" s="12"/>
      <c r="X40" s="21">
        <v>0.747</v>
      </c>
      <c r="Y40" s="21">
        <v>0.79600000000000004</v>
      </c>
      <c r="Z40" s="21">
        <v>0.79500000000000004</v>
      </c>
      <c r="AA40" s="21">
        <v>0.78300000000000003</v>
      </c>
      <c r="AB40" s="21">
        <v>0.75700000000000001</v>
      </c>
      <c r="AC40" s="21">
        <v>0.80800000000000005</v>
      </c>
      <c r="AD40" s="21">
        <v>0.78</v>
      </c>
      <c r="AE40" s="21">
        <v>0.77800000000000002</v>
      </c>
      <c r="AF40" s="21">
        <v>0.75700000000000001</v>
      </c>
      <c r="AG40" s="21">
        <v>0.79300000000000004</v>
      </c>
      <c r="AH40" s="21">
        <v>0.80500000000000005</v>
      </c>
      <c r="AI40" s="21">
        <v>0.80200000000000005</v>
      </c>
      <c r="AJ40" s="21">
        <v>0.75600000000000001</v>
      </c>
      <c r="AK40" s="21">
        <v>0.80500000000000005</v>
      </c>
      <c r="AL40" s="21">
        <v>0.78500000000000003</v>
      </c>
      <c r="AM40" s="21">
        <v>0.79800000000000004</v>
      </c>
      <c r="AN40" s="21">
        <v>0.79100000000000004</v>
      </c>
      <c r="AO40" s="21">
        <v>0.74099999999999999</v>
      </c>
      <c r="AP40" s="21">
        <v>0.80200000000000005</v>
      </c>
      <c r="AQ40" s="21">
        <v>0.78600000000000003</v>
      </c>
      <c r="AR40" s="21">
        <v>0.78800000000000003</v>
      </c>
      <c r="AS40" s="21">
        <v>0.77400000000000002</v>
      </c>
      <c r="AT40" s="21">
        <v>0.77400000000000002</v>
      </c>
      <c r="AU40" s="21">
        <v>0.77900000000000003</v>
      </c>
      <c r="AV40" s="21">
        <v>0.78300000000000003</v>
      </c>
      <c r="AW40" s="21">
        <v>0.76800000000000002</v>
      </c>
      <c r="AX40" s="21">
        <v>0.79500000000000004</v>
      </c>
      <c r="AY40" s="21">
        <v>0.77500000000000002</v>
      </c>
      <c r="AZ40" s="21">
        <v>0.79100000000000004</v>
      </c>
      <c r="BA40" s="21">
        <v>0.78400000000000003</v>
      </c>
      <c r="BB40" s="21">
        <v>0.79</v>
      </c>
      <c r="BC40" s="21">
        <v>0.79400000000000004</v>
      </c>
      <c r="BD40" s="21">
        <v>0.78300000000000003</v>
      </c>
      <c r="BE40" s="21">
        <v>0.76900000000000002</v>
      </c>
      <c r="BF40" s="21">
        <v>0.80100000000000005</v>
      </c>
      <c r="BG40" s="21">
        <v>0.79400000000000004</v>
      </c>
      <c r="BH40" s="21">
        <v>0.78</v>
      </c>
      <c r="BI40" s="21">
        <v>0.76300000000000001</v>
      </c>
      <c r="BJ40" s="21">
        <v>0.79</v>
      </c>
      <c r="BK40" s="21">
        <v>0.78900000000000003</v>
      </c>
      <c r="BL40" s="21">
        <v>0.72499999999999998</v>
      </c>
      <c r="BM40" s="21"/>
      <c r="BN40" s="21"/>
      <c r="BO40" s="21"/>
      <c r="BP40" s="21"/>
    </row>
    <row r="41" spans="1:68" x14ac:dyDescent="0.25">
      <c r="A41" s="22" t="s">
        <v>235</v>
      </c>
      <c r="B41" s="15">
        <v>1</v>
      </c>
      <c r="C41" s="22" t="s">
        <v>235</v>
      </c>
      <c r="D41" s="23">
        <v>39.82</v>
      </c>
      <c r="E41" s="24">
        <v>0</v>
      </c>
      <c r="F41" s="23">
        <v>3.1</v>
      </c>
      <c r="G41" s="23">
        <v>30.08</v>
      </c>
      <c r="H41" s="25">
        <v>186.65</v>
      </c>
      <c r="I41" s="23">
        <v>249.16</v>
      </c>
      <c r="J41" s="26">
        <v>0.83709722222222205</v>
      </c>
      <c r="K41" s="24">
        <v>100479.675702783</v>
      </c>
      <c r="L41" s="24">
        <v>512</v>
      </c>
      <c r="M41" s="23">
        <v>3.6633</v>
      </c>
      <c r="N41" s="23">
        <v>9.25</v>
      </c>
      <c r="O41" s="23">
        <v>16.46</v>
      </c>
      <c r="P41" s="23">
        <v>53.04</v>
      </c>
      <c r="Q41" s="23">
        <v>62.99</v>
      </c>
      <c r="R41" s="26">
        <v>0.438975</v>
      </c>
      <c r="S41" s="26">
        <v>1.2760722222222201</v>
      </c>
      <c r="T41" s="24">
        <v>153169.726687655</v>
      </c>
      <c r="U41" s="23">
        <v>99.4</v>
      </c>
      <c r="V41" s="24">
        <v>2887</v>
      </c>
      <c r="W41" s="15"/>
      <c r="X41" s="27">
        <v>0.81299999999999994</v>
      </c>
      <c r="Y41" s="27">
        <v>0.85099999999999998</v>
      </c>
      <c r="Z41" s="27">
        <v>0.84699999999999998</v>
      </c>
      <c r="AA41" s="27">
        <v>0.84</v>
      </c>
      <c r="AB41" s="27">
        <v>0.82499999999999996</v>
      </c>
      <c r="AC41" s="27">
        <v>0.82</v>
      </c>
      <c r="AD41" s="27">
        <v>0.83899999999999997</v>
      </c>
      <c r="AE41" s="27">
        <v>0.83299999999999996</v>
      </c>
      <c r="AF41" s="27">
        <v>0.82499999999999996</v>
      </c>
      <c r="AG41" s="27">
        <v>0.85599999999999998</v>
      </c>
      <c r="AH41" s="27">
        <v>0.84</v>
      </c>
      <c r="AI41" s="27">
        <v>0.85099999999999998</v>
      </c>
      <c r="AJ41" s="27">
        <v>0.84299999999999997</v>
      </c>
      <c r="AK41" s="27">
        <v>0.85</v>
      </c>
      <c r="AL41" s="27">
        <v>0.84799999999999998</v>
      </c>
      <c r="AM41" s="27">
        <v>0.83299999999999996</v>
      </c>
      <c r="AN41" s="27">
        <v>0.84399999999999997</v>
      </c>
      <c r="AO41" s="27">
        <v>0.84599999999999997</v>
      </c>
      <c r="AP41" s="27">
        <v>0.84299999999999997</v>
      </c>
      <c r="AQ41" s="27">
        <v>0.84</v>
      </c>
      <c r="AR41" s="27">
        <v>0.82799999999999996</v>
      </c>
      <c r="AS41" s="27">
        <v>0.83199999999999996</v>
      </c>
      <c r="AT41" s="27">
        <v>0.84899999999999998</v>
      </c>
      <c r="AU41" s="27">
        <v>0.84199999999999997</v>
      </c>
      <c r="AV41" s="27">
        <v>0.83499999999999996</v>
      </c>
      <c r="AW41" s="27">
        <v>0.83</v>
      </c>
      <c r="AX41" s="27">
        <v>0.84499999999999997</v>
      </c>
      <c r="AY41" s="27">
        <v>0.85199999999999998</v>
      </c>
      <c r="AZ41" s="27">
        <v>0.83599999999999997</v>
      </c>
      <c r="BA41" s="27">
        <v>0.83499999999999996</v>
      </c>
      <c r="BB41" s="27">
        <v>0.85599999999999998</v>
      </c>
      <c r="BC41" s="27">
        <v>0.84499999999999997</v>
      </c>
      <c r="BD41" s="27">
        <v>0.83199999999999996</v>
      </c>
      <c r="BE41" s="27">
        <v>0.83</v>
      </c>
      <c r="BF41" s="27">
        <v>0.84199999999999997</v>
      </c>
      <c r="BG41" s="27">
        <v>0.83799999999999997</v>
      </c>
      <c r="BH41" s="27">
        <v>0.82499999999999996</v>
      </c>
      <c r="BI41" s="27">
        <v>0.83099999999999996</v>
      </c>
      <c r="BJ41" s="27">
        <v>0.85399999999999998</v>
      </c>
      <c r="BK41" s="27">
        <v>0.83</v>
      </c>
      <c r="BL41" s="27">
        <v>0.75900000000000001</v>
      </c>
      <c r="BM41" s="27"/>
      <c r="BN41" s="27"/>
      <c r="BO41" s="27"/>
      <c r="BP41" s="27"/>
    </row>
    <row r="42" spans="1:68" x14ac:dyDescent="0.25">
      <c r="A42" s="22" t="s">
        <v>235</v>
      </c>
      <c r="B42" s="15">
        <v>2</v>
      </c>
      <c r="C42" s="22" t="s">
        <v>235</v>
      </c>
      <c r="D42" s="23">
        <v>39.770000000000003</v>
      </c>
      <c r="E42" s="24">
        <v>0</v>
      </c>
      <c r="F42" s="23">
        <v>3.05</v>
      </c>
      <c r="G42" s="23">
        <v>29.83</v>
      </c>
      <c r="H42" s="25">
        <v>182.3</v>
      </c>
      <c r="I42" s="23">
        <v>248.67</v>
      </c>
      <c r="J42" s="26">
        <v>0.83360000000000001</v>
      </c>
      <c r="K42" s="24">
        <v>100064.41538161199</v>
      </c>
      <c r="L42" s="24">
        <v>2097152</v>
      </c>
      <c r="M42" s="23">
        <v>3.5808</v>
      </c>
      <c r="N42" s="23">
        <v>9.23</v>
      </c>
      <c r="O42" s="23">
        <v>16.29</v>
      </c>
      <c r="P42" s="23">
        <v>52.84</v>
      </c>
      <c r="Q42" s="23">
        <v>62.98</v>
      </c>
      <c r="R42" s="26">
        <v>0.43821388888888901</v>
      </c>
      <c r="S42" s="26">
        <v>1.2718138888888899</v>
      </c>
      <c r="T42" s="24">
        <v>152667.744903935</v>
      </c>
      <c r="U42" s="23">
        <v>99.6</v>
      </c>
      <c r="V42" s="24">
        <v>2891</v>
      </c>
      <c r="W42" s="15"/>
      <c r="X42" s="27">
        <v>0.96199999999999997</v>
      </c>
      <c r="Y42" s="27">
        <v>0.81799999999999995</v>
      </c>
      <c r="Z42" s="27">
        <v>0.84799999999999998</v>
      </c>
      <c r="AA42" s="27">
        <v>0.83899999999999997</v>
      </c>
      <c r="AB42" s="27">
        <v>0.83299999999999996</v>
      </c>
      <c r="AC42" s="27">
        <v>0.85899999999999999</v>
      </c>
      <c r="AD42" s="27">
        <v>0.84399999999999997</v>
      </c>
      <c r="AE42" s="27">
        <v>0.84499999999999997</v>
      </c>
      <c r="AF42" s="27">
        <v>0.81499999999999995</v>
      </c>
      <c r="AG42" s="27">
        <v>0.83899999999999997</v>
      </c>
      <c r="AH42" s="27">
        <v>0.84899999999999998</v>
      </c>
      <c r="AI42" s="27">
        <v>0.83599999999999997</v>
      </c>
      <c r="AJ42" s="27">
        <v>0.83899999999999997</v>
      </c>
      <c r="AK42" s="27">
        <v>0.84199999999999997</v>
      </c>
      <c r="AL42" s="27">
        <v>0.82599999999999996</v>
      </c>
      <c r="AM42" s="27">
        <v>0.84099999999999997</v>
      </c>
      <c r="AN42" s="27">
        <v>0.83199999999999996</v>
      </c>
      <c r="AO42" s="27">
        <v>0.82099999999999995</v>
      </c>
      <c r="AP42" s="27">
        <v>0.85599999999999998</v>
      </c>
      <c r="AQ42" s="27">
        <v>0.83</v>
      </c>
      <c r="AR42" s="27">
        <v>0.83099999999999996</v>
      </c>
      <c r="AS42" s="27">
        <v>0.84599999999999997</v>
      </c>
      <c r="AT42" s="27">
        <v>0.82</v>
      </c>
      <c r="AU42" s="27">
        <v>0.85799999999999998</v>
      </c>
      <c r="AV42" s="27">
        <v>0.83199999999999996</v>
      </c>
      <c r="AW42" s="27">
        <v>0.81899999999999995</v>
      </c>
      <c r="AX42" s="27">
        <v>0.84399999999999997</v>
      </c>
      <c r="AY42" s="27">
        <v>0.83199999999999996</v>
      </c>
      <c r="AZ42" s="27">
        <v>0.80800000000000005</v>
      </c>
      <c r="BA42" s="27">
        <v>0.82199999999999995</v>
      </c>
      <c r="BB42" s="27">
        <v>0.82699999999999996</v>
      </c>
      <c r="BC42" s="27">
        <v>0.85899999999999999</v>
      </c>
      <c r="BD42" s="27">
        <v>0.82599999999999996</v>
      </c>
      <c r="BE42" s="27">
        <v>0.82899999999999996</v>
      </c>
      <c r="BF42" s="27">
        <v>0.85499999999999998</v>
      </c>
      <c r="BG42" s="27">
        <v>0.84</v>
      </c>
      <c r="BH42" s="27">
        <v>0.83</v>
      </c>
      <c r="BI42" s="27">
        <v>0.83299999999999996</v>
      </c>
      <c r="BJ42" s="27">
        <v>0.82199999999999995</v>
      </c>
      <c r="BK42" s="27">
        <v>0.84099999999999997</v>
      </c>
      <c r="BL42" s="27">
        <v>0.76200000000000001</v>
      </c>
      <c r="BM42" s="27"/>
      <c r="BN42" s="27"/>
      <c r="BO42" s="27"/>
      <c r="BP42" s="27"/>
    </row>
    <row r="43" spans="1:68" x14ac:dyDescent="0.25">
      <c r="A43" s="22" t="s">
        <v>235</v>
      </c>
      <c r="B43" s="15">
        <v>3</v>
      </c>
      <c r="C43" s="22" t="s">
        <v>235</v>
      </c>
      <c r="D43" s="23">
        <v>39.770000000000003</v>
      </c>
      <c r="E43" s="24">
        <v>0</v>
      </c>
      <c r="F43" s="23">
        <v>1.99</v>
      </c>
      <c r="G43" s="23">
        <v>28.17</v>
      </c>
      <c r="H43" s="25">
        <v>164.85</v>
      </c>
      <c r="I43" s="23">
        <v>246.96</v>
      </c>
      <c r="J43" s="26">
        <v>0.83253888888888905</v>
      </c>
      <c r="K43" s="24">
        <v>99966.570782249299</v>
      </c>
      <c r="L43" s="24">
        <v>2097152</v>
      </c>
      <c r="M43" s="23">
        <v>2.9754999999999998</v>
      </c>
      <c r="N43" s="23">
        <v>9.25</v>
      </c>
      <c r="O43" s="23">
        <v>15.95</v>
      </c>
      <c r="P43" s="23">
        <v>52.49</v>
      </c>
      <c r="Q43" s="23">
        <v>62.95</v>
      </c>
      <c r="R43" s="26">
        <v>0.45489722222222201</v>
      </c>
      <c r="S43" s="26">
        <v>1.2874361111111099</v>
      </c>
      <c r="T43" s="24">
        <v>154585.527969391</v>
      </c>
      <c r="U43" s="23">
        <v>99.5</v>
      </c>
      <c r="V43" s="24">
        <v>2889</v>
      </c>
      <c r="W43" s="15"/>
      <c r="X43" s="27">
        <v>0.94599999999999995</v>
      </c>
      <c r="Y43" s="27">
        <v>0.84699999999999998</v>
      </c>
      <c r="Z43" s="27">
        <v>0.83499999999999996</v>
      </c>
      <c r="AA43" s="27">
        <v>0.83299999999999996</v>
      </c>
      <c r="AB43" s="27">
        <v>0.82799999999999996</v>
      </c>
      <c r="AC43" s="27">
        <v>0.85199999999999998</v>
      </c>
      <c r="AD43" s="27">
        <v>0.84599999999999997</v>
      </c>
      <c r="AE43" s="27">
        <v>0.84</v>
      </c>
      <c r="AF43" s="27">
        <v>0.89</v>
      </c>
      <c r="AG43" s="27">
        <v>0.90400000000000003</v>
      </c>
      <c r="AH43" s="27">
        <v>0.88800000000000001</v>
      </c>
      <c r="AI43" s="27">
        <v>0.91200000000000003</v>
      </c>
      <c r="AJ43" s="27">
        <v>0.88100000000000001</v>
      </c>
      <c r="AK43" s="27">
        <v>0.83899999999999997</v>
      </c>
      <c r="AL43" s="27">
        <v>0.83199999999999996</v>
      </c>
      <c r="AM43" s="27">
        <v>0.83899999999999997</v>
      </c>
      <c r="AN43" s="27">
        <v>0.83</v>
      </c>
      <c r="AO43" s="27">
        <v>0.83099999999999996</v>
      </c>
      <c r="AP43" s="27">
        <v>0.81599999999999995</v>
      </c>
      <c r="AQ43" s="27">
        <v>0.83899999999999997</v>
      </c>
      <c r="AR43" s="27">
        <v>0.80200000000000005</v>
      </c>
      <c r="AS43" s="27">
        <v>0.80900000000000005</v>
      </c>
      <c r="AT43" s="27">
        <v>0.82799999999999996</v>
      </c>
      <c r="AU43" s="27">
        <v>0.81899999999999995</v>
      </c>
      <c r="AV43" s="27">
        <v>0.83299999999999996</v>
      </c>
      <c r="AW43" s="27">
        <v>0.80500000000000005</v>
      </c>
      <c r="AX43" s="27">
        <v>0.82799999999999996</v>
      </c>
      <c r="AY43" s="27">
        <v>0.83699999999999997</v>
      </c>
      <c r="AZ43" s="27">
        <v>0.82199999999999995</v>
      </c>
      <c r="BA43" s="27">
        <v>0.80400000000000005</v>
      </c>
      <c r="BB43" s="27">
        <v>0.82499999999999996</v>
      </c>
      <c r="BC43" s="27">
        <v>0.81699999999999995</v>
      </c>
      <c r="BD43" s="27">
        <v>0.82499999999999996</v>
      </c>
      <c r="BE43" s="27">
        <v>0.80800000000000005</v>
      </c>
      <c r="BF43" s="27">
        <v>0.82</v>
      </c>
      <c r="BG43" s="27">
        <v>0.83</v>
      </c>
      <c r="BH43" s="27">
        <v>0.82499999999999996</v>
      </c>
      <c r="BI43" s="27">
        <v>0.81299999999999994</v>
      </c>
      <c r="BJ43" s="27">
        <v>0.83099999999999996</v>
      </c>
      <c r="BK43" s="27">
        <v>0.81599999999999995</v>
      </c>
      <c r="BL43" s="27">
        <v>0.73599999999999999</v>
      </c>
      <c r="BM43" s="27"/>
      <c r="BN43" s="27"/>
      <c r="BO43" s="27"/>
      <c r="BP43" s="27"/>
    </row>
    <row r="44" spans="1:68" x14ac:dyDescent="0.25">
      <c r="A44" s="16" t="s">
        <v>236</v>
      </c>
      <c r="B44" s="12">
        <v>1</v>
      </c>
      <c r="C44" s="16" t="s">
        <v>236</v>
      </c>
      <c r="D44" s="17">
        <v>39.79</v>
      </c>
      <c r="E44" s="18">
        <v>0</v>
      </c>
      <c r="F44" s="17">
        <v>5.37</v>
      </c>
      <c r="G44" s="17">
        <v>29.79</v>
      </c>
      <c r="H44" s="19">
        <v>179.91</v>
      </c>
      <c r="I44" s="17">
        <v>248.41</v>
      </c>
      <c r="J44" s="20">
        <v>0.88626388888888896</v>
      </c>
      <c r="K44" s="18">
        <v>106386.85480048</v>
      </c>
      <c r="L44" s="18">
        <v>512</v>
      </c>
      <c r="M44" s="17">
        <v>3.3921999999999999</v>
      </c>
      <c r="N44" s="17">
        <v>9.24</v>
      </c>
      <c r="O44" s="17">
        <v>16.54</v>
      </c>
      <c r="P44" s="17">
        <v>53.19</v>
      </c>
      <c r="Q44" s="17">
        <v>63.03</v>
      </c>
      <c r="R44" s="20">
        <v>0.43707499999999999</v>
      </c>
      <c r="S44" s="20">
        <v>1.32333888888889</v>
      </c>
      <c r="T44" s="18">
        <v>158849.94841192401</v>
      </c>
      <c r="U44" s="17">
        <v>99.5</v>
      </c>
      <c r="V44" s="18">
        <v>2890</v>
      </c>
      <c r="W44" s="12"/>
      <c r="X44" s="21">
        <v>0.85699999999999998</v>
      </c>
      <c r="Y44" s="21">
        <v>0.89500000000000002</v>
      </c>
      <c r="Z44" s="21">
        <v>0.88700000000000001</v>
      </c>
      <c r="AA44" s="21">
        <v>0.88600000000000001</v>
      </c>
      <c r="AB44" s="21">
        <v>0.83399999999999996</v>
      </c>
      <c r="AC44" s="21">
        <v>0.875</v>
      </c>
      <c r="AD44" s="21">
        <v>0.86899999999999999</v>
      </c>
      <c r="AE44" s="21">
        <v>0.84799999999999998</v>
      </c>
      <c r="AF44" s="21">
        <v>0.85799999999999998</v>
      </c>
      <c r="AG44" s="21">
        <v>0.878</v>
      </c>
      <c r="AH44" s="21">
        <v>0.86699999999999999</v>
      </c>
      <c r="AI44" s="21">
        <v>0.90600000000000003</v>
      </c>
      <c r="AJ44" s="21">
        <v>0.88100000000000001</v>
      </c>
      <c r="AK44" s="21">
        <v>0.89500000000000002</v>
      </c>
      <c r="AL44" s="21">
        <v>0.88500000000000001</v>
      </c>
      <c r="AM44" s="21">
        <v>0.90400000000000003</v>
      </c>
      <c r="AN44" s="21">
        <v>0.88900000000000001</v>
      </c>
      <c r="AO44" s="21">
        <v>0.89800000000000002</v>
      </c>
      <c r="AP44" s="21">
        <v>0.88500000000000001</v>
      </c>
      <c r="AQ44" s="21">
        <v>0.90100000000000002</v>
      </c>
      <c r="AR44" s="21">
        <v>0.90200000000000002</v>
      </c>
      <c r="AS44" s="21">
        <v>0.88500000000000001</v>
      </c>
      <c r="AT44" s="21">
        <v>0.90600000000000003</v>
      </c>
      <c r="AU44" s="21">
        <v>0.88500000000000001</v>
      </c>
      <c r="AV44" s="21">
        <v>0.88400000000000001</v>
      </c>
      <c r="AW44" s="21">
        <v>0.90200000000000002</v>
      </c>
      <c r="AX44" s="21">
        <v>0.89200000000000002</v>
      </c>
      <c r="AY44" s="21">
        <v>0.89300000000000002</v>
      </c>
      <c r="AZ44" s="21">
        <v>0.90500000000000003</v>
      </c>
      <c r="BA44" s="21">
        <v>0.88700000000000001</v>
      </c>
      <c r="BB44" s="21">
        <v>0.90600000000000003</v>
      </c>
      <c r="BC44" s="21">
        <v>0.88300000000000001</v>
      </c>
      <c r="BD44" s="21">
        <v>0.89900000000000002</v>
      </c>
      <c r="BE44" s="21">
        <v>0.89300000000000002</v>
      </c>
      <c r="BF44" s="21">
        <v>0.88300000000000001</v>
      </c>
      <c r="BG44" s="21">
        <v>0.89300000000000002</v>
      </c>
      <c r="BH44" s="21">
        <v>0.88</v>
      </c>
      <c r="BI44" s="21">
        <v>0.88600000000000001</v>
      </c>
      <c r="BJ44" s="21">
        <v>0.90700000000000003</v>
      </c>
      <c r="BK44" s="21">
        <v>0.88500000000000001</v>
      </c>
      <c r="BL44" s="21">
        <v>0.81100000000000005</v>
      </c>
      <c r="BM44" s="21"/>
      <c r="BN44" s="21"/>
      <c r="BO44" s="21"/>
      <c r="BP44" s="21"/>
    </row>
    <row r="45" spans="1:68" x14ac:dyDescent="0.25">
      <c r="A45" s="16" t="s">
        <v>236</v>
      </c>
      <c r="B45" s="12">
        <v>2</v>
      </c>
      <c r="C45" s="16" t="s">
        <v>236</v>
      </c>
      <c r="D45" s="17">
        <v>39.79</v>
      </c>
      <c r="E45" s="18">
        <v>0</v>
      </c>
      <c r="F45" s="17">
        <v>5.33</v>
      </c>
      <c r="G45" s="17">
        <v>29.68</v>
      </c>
      <c r="H45" s="19">
        <v>179.18</v>
      </c>
      <c r="I45" s="17">
        <v>248.36</v>
      </c>
      <c r="J45" s="20">
        <v>0.81782564102564104</v>
      </c>
      <c r="K45" s="18">
        <v>100495.943284758</v>
      </c>
      <c r="L45" s="18">
        <v>512</v>
      </c>
      <c r="M45" s="17">
        <v>3.3782000000000001</v>
      </c>
      <c r="N45" s="17">
        <v>9.34</v>
      </c>
      <c r="O45" s="17">
        <v>16.350000000000001</v>
      </c>
      <c r="P45" s="17">
        <v>53</v>
      </c>
      <c r="Q45" s="17">
        <v>63</v>
      </c>
      <c r="R45" s="20">
        <v>0.40498717948717999</v>
      </c>
      <c r="S45" s="20">
        <v>1.2228128205128199</v>
      </c>
      <c r="T45" s="18">
        <v>150261.887882368</v>
      </c>
      <c r="U45" s="17">
        <v>99.5</v>
      </c>
      <c r="V45" s="18">
        <v>2889</v>
      </c>
      <c r="W45" s="12"/>
      <c r="X45" s="21">
        <v>0.86799999999999999</v>
      </c>
      <c r="Y45" s="21">
        <v>0.90500000000000003</v>
      </c>
      <c r="Z45" s="21">
        <v>0.89</v>
      </c>
      <c r="AA45" s="21">
        <v>0.879</v>
      </c>
      <c r="AB45" s="21">
        <v>0.89300000000000002</v>
      </c>
      <c r="AC45" s="21">
        <v>0.9</v>
      </c>
      <c r="AD45" s="21">
        <v>0.88600000000000001</v>
      </c>
      <c r="AE45" s="21">
        <v>0.89900000000000002</v>
      </c>
      <c r="AF45" s="21">
        <v>0.88200000000000001</v>
      </c>
      <c r="AG45" s="21">
        <v>0.89900000000000002</v>
      </c>
      <c r="AH45" s="21">
        <v>0.90100000000000002</v>
      </c>
      <c r="AI45" s="21">
        <v>0.89900000000000002</v>
      </c>
      <c r="AJ45" s="21">
        <v>0.875</v>
      </c>
      <c r="AK45" s="21">
        <v>0.89100000000000001</v>
      </c>
      <c r="AL45" s="21">
        <v>0.88200000000000001</v>
      </c>
      <c r="AM45" s="21">
        <v>0.90200000000000002</v>
      </c>
      <c r="AN45" s="21">
        <v>0.88</v>
      </c>
      <c r="AO45" s="21">
        <v>0.88</v>
      </c>
      <c r="AP45" s="21">
        <v>0.88800000000000001</v>
      </c>
      <c r="AQ45" s="21">
        <v>0.88900000000000001</v>
      </c>
      <c r="AR45" s="21">
        <v>0.90100000000000002</v>
      </c>
      <c r="AS45" s="21">
        <v>0.89100000000000001</v>
      </c>
      <c r="AT45" s="21">
        <v>0.89500000000000002</v>
      </c>
      <c r="AU45" s="21">
        <v>0.88900000000000001</v>
      </c>
      <c r="AV45" s="21">
        <v>0.88400000000000001</v>
      </c>
      <c r="AW45" s="21">
        <v>0.88</v>
      </c>
      <c r="AX45" s="21">
        <v>0.91</v>
      </c>
      <c r="AY45" s="21">
        <v>0.878</v>
      </c>
      <c r="AZ45" s="21">
        <v>0.89800000000000002</v>
      </c>
      <c r="BA45" s="21">
        <v>0.89400000000000002</v>
      </c>
      <c r="BB45" s="21">
        <v>0.89300000000000002</v>
      </c>
      <c r="BC45" s="21">
        <v>0.91200000000000003</v>
      </c>
      <c r="BD45" s="21">
        <v>0.89400000000000002</v>
      </c>
      <c r="BE45" s="21">
        <v>0.88400000000000001</v>
      </c>
      <c r="BF45" s="21">
        <v>0.89600000000000002</v>
      </c>
      <c r="BG45" s="21">
        <v>0.90200000000000002</v>
      </c>
      <c r="BH45" s="21">
        <v>0.89100000000000001</v>
      </c>
      <c r="BI45" s="21">
        <v>0.88500000000000001</v>
      </c>
      <c r="BJ45" s="21">
        <v>0.89100000000000001</v>
      </c>
      <c r="BK45" s="21">
        <v>0.89700000000000002</v>
      </c>
      <c r="BL45" s="21">
        <v>0.67600000000000005</v>
      </c>
      <c r="BM45" s="21">
        <v>0</v>
      </c>
      <c r="BN45" s="21">
        <v>0</v>
      </c>
      <c r="BO45" s="21">
        <v>0</v>
      </c>
      <c r="BP45" s="21"/>
    </row>
    <row r="46" spans="1:68" x14ac:dyDescent="0.25">
      <c r="A46" s="16" t="s">
        <v>236</v>
      </c>
      <c r="B46" s="12">
        <v>3</v>
      </c>
      <c r="C46" s="16" t="s">
        <v>236</v>
      </c>
      <c r="D46" s="17">
        <v>39.79</v>
      </c>
      <c r="E46" s="18">
        <v>0</v>
      </c>
      <c r="F46" s="17">
        <v>5.33</v>
      </c>
      <c r="G46" s="17">
        <v>29.56</v>
      </c>
      <c r="H46" s="19">
        <v>178.35</v>
      </c>
      <c r="I46" s="17">
        <v>248.26</v>
      </c>
      <c r="J46" s="20">
        <v>0.88801944444444503</v>
      </c>
      <c r="K46" s="18">
        <v>106625.55115253699</v>
      </c>
      <c r="L46" s="18">
        <v>512</v>
      </c>
      <c r="M46" s="17">
        <v>3.3748</v>
      </c>
      <c r="N46" s="17">
        <v>9.34</v>
      </c>
      <c r="O46" s="17">
        <v>16.399999999999999</v>
      </c>
      <c r="P46" s="17">
        <v>52.99</v>
      </c>
      <c r="Q46" s="17">
        <v>63.05</v>
      </c>
      <c r="R46" s="20">
        <v>0.44026944444444399</v>
      </c>
      <c r="S46" s="20">
        <v>1.32828888888889</v>
      </c>
      <c r="T46" s="18">
        <v>159480.353853882</v>
      </c>
      <c r="U46" s="17">
        <v>99.6</v>
      </c>
      <c r="V46" s="18">
        <v>2892</v>
      </c>
      <c r="W46" s="12"/>
      <c r="X46" s="21">
        <v>0.86799999999999999</v>
      </c>
      <c r="Y46" s="21">
        <v>0.91</v>
      </c>
      <c r="Z46" s="21">
        <v>0.879</v>
      </c>
      <c r="AA46" s="21">
        <v>0.88300000000000001</v>
      </c>
      <c r="AB46" s="21">
        <v>0.878</v>
      </c>
      <c r="AC46" s="21">
        <v>0.88600000000000001</v>
      </c>
      <c r="AD46" s="21">
        <v>0.89400000000000002</v>
      </c>
      <c r="AE46" s="21">
        <v>0.89200000000000002</v>
      </c>
      <c r="AF46" s="21">
        <v>0.87</v>
      </c>
      <c r="AG46" s="21">
        <v>0.91500000000000004</v>
      </c>
      <c r="AH46" s="21">
        <v>0.89600000000000002</v>
      </c>
      <c r="AI46" s="21">
        <v>0.89200000000000002</v>
      </c>
      <c r="AJ46" s="21">
        <v>0.88400000000000001</v>
      </c>
      <c r="AK46" s="21">
        <v>0.89</v>
      </c>
      <c r="AL46" s="21">
        <v>0.88900000000000001</v>
      </c>
      <c r="AM46" s="21">
        <v>0.89200000000000002</v>
      </c>
      <c r="AN46" s="21">
        <v>0.88700000000000001</v>
      </c>
      <c r="AO46" s="21">
        <v>0.874</v>
      </c>
      <c r="AP46" s="21">
        <v>0.88</v>
      </c>
      <c r="AQ46" s="21">
        <v>0.89400000000000002</v>
      </c>
      <c r="AR46" s="21">
        <v>0.90900000000000003</v>
      </c>
      <c r="AS46" s="21">
        <v>0.873</v>
      </c>
      <c r="AT46" s="21">
        <v>0.91200000000000003</v>
      </c>
      <c r="AU46" s="21">
        <v>0.90800000000000003</v>
      </c>
      <c r="AV46" s="21">
        <v>0.88100000000000001</v>
      </c>
      <c r="AW46" s="21">
        <v>0.89</v>
      </c>
      <c r="AX46" s="21">
        <v>0.89100000000000001</v>
      </c>
      <c r="AY46" s="21">
        <v>0.89</v>
      </c>
      <c r="AZ46" s="21">
        <v>0.88900000000000001</v>
      </c>
      <c r="BA46" s="21">
        <v>0.88200000000000001</v>
      </c>
      <c r="BB46" s="21">
        <v>0.90100000000000002</v>
      </c>
      <c r="BC46" s="21">
        <v>0.89</v>
      </c>
      <c r="BD46" s="21">
        <v>0.89200000000000002</v>
      </c>
      <c r="BE46" s="21">
        <v>0.88300000000000001</v>
      </c>
      <c r="BF46" s="21">
        <v>0.89600000000000002</v>
      </c>
      <c r="BG46" s="21">
        <v>0.91300000000000003</v>
      </c>
      <c r="BH46" s="21">
        <v>0.89500000000000002</v>
      </c>
      <c r="BI46" s="21">
        <v>0.86499999999999999</v>
      </c>
      <c r="BJ46" s="21">
        <v>0.90500000000000003</v>
      </c>
      <c r="BK46" s="21">
        <v>0.89200000000000002</v>
      </c>
      <c r="BL46" s="21">
        <v>0.77500000000000002</v>
      </c>
      <c r="BM46" s="21"/>
      <c r="BN46" s="21"/>
      <c r="BO46" s="21"/>
      <c r="BP46" s="21"/>
    </row>
    <row r="47" spans="1:68" x14ac:dyDescent="0.25">
      <c r="A47" s="22" t="s">
        <v>237</v>
      </c>
      <c r="B47" s="15">
        <v>1</v>
      </c>
      <c r="C47" s="22" t="s">
        <v>237</v>
      </c>
      <c r="D47" s="23">
        <v>45.04</v>
      </c>
      <c r="E47" s="24">
        <v>0</v>
      </c>
      <c r="F47" s="23">
        <v>3.19</v>
      </c>
      <c r="G47" s="23">
        <v>29.7</v>
      </c>
      <c r="H47" s="25">
        <v>181.44</v>
      </c>
      <c r="I47" s="23">
        <v>248.58</v>
      </c>
      <c r="J47" s="26">
        <v>0.84139523809523797</v>
      </c>
      <c r="K47" s="24">
        <v>101198.212382521</v>
      </c>
      <c r="L47" s="24">
        <v>512</v>
      </c>
      <c r="M47" s="23">
        <v>3.5583999999999998</v>
      </c>
      <c r="N47" s="23">
        <v>9.32</v>
      </c>
      <c r="O47" s="23">
        <v>15.95</v>
      </c>
      <c r="P47" s="23">
        <v>51.71</v>
      </c>
      <c r="Q47" s="23">
        <v>62.87</v>
      </c>
      <c r="R47" s="26">
        <v>0.43861666666666699</v>
      </c>
      <c r="S47" s="26">
        <v>1.2800119047619101</v>
      </c>
      <c r="T47" s="24">
        <v>153929.12508477899</v>
      </c>
      <c r="U47" s="23">
        <v>99.5</v>
      </c>
      <c r="V47" s="24">
        <v>2889</v>
      </c>
      <c r="W47" s="15"/>
      <c r="X47" s="27">
        <v>0.82499999999999996</v>
      </c>
      <c r="Y47" s="27">
        <v>0.83399999999999996</v>
      </c>
      <c r="Z47" s="27">
        <v>0.85699999999999998</v>
      </c>
      <c r="AA47" s="27">
        <v>0.85499999999999998</v>
      </c>
      <c r="AB47" s="27">
        <v>0.83699999999999997</v>
      </c>
      <c r="AC47" s="27">
        <v>0.85299999999999998</v>
      </c>
      <c r="AD47" s="27">
        <v>0.86</v>
      </c>
      <c r="AE47" s="27">
        <v>0.85599999999999998</v>
      </c>
      <c r="AF47" s="27">
        <v>0.83499999999999996</v>
      </c>
      <c r="AG47" s="27">
        <v>0.84699999999999998</v>
      </c>
      <c r="AH47" s="27">
        <v>0.85499999999999998</v>
      </c>
      <c r="AI47" s="27">
        <v>0.84399999999999997</v>
      </c>
      <c r="AJ47" s="27">
        <v>0.83899999999999997</v>
      </c>
      <c r="AK47" s="27">
        <v>0.85799999999999998</v>
      </c>
      <c r="AL47" s="27">
        <v>0.82699999999999996</v>
      </c>
      <c r="AM47" s="27">
        <v>0.81799999999999995</v>
      </c>
      <c r="AN47" s="27">
        <v>0.84699999999999998</v>
      </c>
      <c r="AO47" s="27">
        <v>0.83</v>
      </c>
      <c r="AP47" s="27">
        <v>0.83</v>
      </c>
      <c r="AQ47" s="27">
        <v>0.83</v>
      </c>
      <c r="AR47" s="27">
        <v>0.86199999999999999</v>
      </c>
      <c r="AS47" s="27">
        <v>0.84499999999999997</v>
      </c>
      <c r="AT47" s="27">
        <v>0.83899999999999997</v>
      </c>
      <c r="AU47" s="27">
        <v>0.85099999999999998</v>
      </c>
      <c r="AV47" s="27">
        <v>0.84799999999999998</v>
      </c>
      <c r="AW47" s="27">
        <v>0.83699999999999997</v>
      </c>
      <c r="AX47" s="27">
        <v>0.84699999999999998</v>
      </c>
      <c r="AY47" s="27">
        <v>0.85</v>
      </c>
      <c r="AZ47" s="27">
        <v>0.84799999999999998</v>
      </c>
      <c r="BA47" s="27">
        <v>0.83599999999999997</v>
      </c>
      <c r="BB47" s="27">
        <v>0.83299999999999996</v>
      </c>
      <c r="BC47" s="27">
        <v>0.84299999999999997</v>
      </c>
      <c r="BD47" s="27">
        <v>0.85299999999999998</v>
      </c>
      <c r="BE47" s="27">
        <v>0.83199999999999996</v>
      </c>
      <c r="BF47" s="27">
        <v>0.84899999999999998</v>
      </c>
      <c r="BG47" s="27">
        <v>0.83499999999999996</v>
      </c>
      <c r="BH47" s="27">
        <v>0.85199999999999998</v>
      </c>
      <c r="BI47" s="27">
        <v>0.83799999999999997</v>
      </c>
      <c r="BJ47" s="27">
        <v>0.84299999999999997</v>
      </c>
      <c r="BK47" s="27">
        <v>0.86199999999999999</v>
      </c>
      <c r="BL47" s="27">
        <v>0.84299999999999997</v>
      </c>
      <c r="BM47" s="27">
        <v>0.83399999999999996</v>
      </c>
      <c r="BN47" s="27">
        <v>0.85399999999999998</v>
      </c>
      <c r="BO47" s="27">
        <v>0.85399999999999998</v>
      </c>
      <c r="BP47" s="27">
        <v>0.85299999999999998</v>
      </c>
    </row>
    <row r="48" spans="1:68" x14ac:dyDescent="0.25">
      <c r="A48" s="22" t="s">
        <v>237</v>
      </c>
      <c r="B48" s="15">
        <v>2</v>
      </c>
      <c r="C48" s="22" t="s">
        <v>237</v>
      </c>
      <c r="D48" s="23">
        <v>39.79</v>
      </c>
      <c r="E48" s="24">
        <v>0</v>
      </c>
      <c r="F48" s="23">
        <v>1.99</v>
      </c>
      <c r="G48" s="23">
        <v>29.12</v>
      </c>
      <c r="H48" s="25">
        <v>177.86</v>
      </c>
      <c r="I48" s="23">
        <v>248.27</v>
      </c>
      <c r="J48" s="26">
        <v>0.82368918918918899</v>
      </c>
      <c r="K48" s="24">
        <v>101221.975767322</v>
      </c>
      <c r="L48" s="24">
        <v>512</v>
      </c>
      <c r="M48" s="23">
        <v>3.2831000000000001</v>
      </c>
      <c r="N48" s="23">
        <v>8.51</v>
      </c>
      <c r="O48" s="23">
        <v>15.83</v>
      </c>
      <c r="P48" s="23">
        <v>51.41</v>
      </c>
      <c r="Q48" s="23">
        <v>62.88</v>
      </c>
      <c r="R48" s="26">
        <v>0.43573513513513501</v>
      </c>
      <c r="S48" s="26">
        <v>1.2594243243243199</v>
      </c>
      <c r="T48" s="24">
        <v>154760.41811073801</v>
      </c>
      <c r="U48" s="23">
        <v>99.5</v>
      </c>
      <c r="V48" s="24">
        <v>2889</v>
      </c>
      <c r="W48" s="15"/>
      <c r="X48" s="27">
        <v>0.82399999999999995</v>
      </c>
      <c r="Y48" s="27">
        <v>0.84599999999999997</v>
      </c>
      <c r="Z48" s="27">
        <v>0.85</v>
      </c>
      <c r="AA48" s="27">
        <v>0.84099999999999997</v>
      </c>
      <c r="AB48" s="27">
        <v>0.83899999999999997</v>
      </c>
      <c r="AC48" s="27">
        <v>0.83899999999999997</v>
      </c>
      <c r="AD48" s="27">
        <v>0.85199999999999998</v>
      </c>
      <c r="AE48" s="27">
        <v>0.83299999999999996</v>
      </c>
      <c r="AF48" s="27">
        <v>0.84799999999999998</v>
      </c>
      <c r="AG48" s="27">
        <v>0.85599999999999998</v>
      </c>
      <c r="AH48" s="27">
        <v>0.85399999999999998</v>
      </c>
      <c r="AI48" s="27">
        <v>0.85099999999999998</v>
      </c>
      <c r="AJ48" s="27">
        <v>0.82699999999999996</v>
      </c>
      <c r="AK48" s="27">
        <v>0.84799999999999998</v>
      </c>
      <c r="AL48" s="27">
        <v>0.86199999999999999</v>
      </c>
      <c r="AM48" s="27">
        <v>0.82899999999999996</v>
      </c>
      <c r="AN48" s="27">
        <v>0.83299999999999996</v>
      </c>
      <c r="AO48" s="27">
        <v>0.86699999999999999</v>
      </c>
      <c r="AP48" s="27">
        <v>0.84</v>
      </c>
      <c r="AQ48" s="27">
        <v>0.82199999999999995</v>
      </c>
      <c r="AR48" s="27">
        <v>0.89500000000000002</v>
      </c>
      <c r="AS48" s="27">
        <v>0.92100000000000004</v>
      </c>
      <c r="AT48" s="27">
        <v>0.92</v>
      </c>
      <c r="AU48" s="27">
        <v>0.93600000000000005</v>
      </c>
      <c r="AV48" s="27">
        <v>0.88100000000000001</v>
      </c>
      <c r="AW48" s="27">
        <v>0.84199999999999997</v>
      </c>
      <c r="AX48" s="27">
        <v>0.83099999999999996</v>
      </c>
      <c r="AY48" s="27">
        <v>0.85899999999999999</v>
      </c>
      <c r="AZ48" s="27">
        <v>0.83699999999999997</v>
      </c>
      <c r="BA48" s="27">
        <v>0.81200000000000006</v>
      </c>
      <c r="BB48" s="27">
        <v>0.84699999999999998</v>
      </c>
      <c r="BC48" s="27">
        <v>0.81899999999999995</v>
      </c>
      <c r="BD48" s="27">
        <v>0.81599999999999995</v>
      </c>
      <c r="BE48" s="27">
        <v>0.80200000000000005</v>
      </c>
      <c r="BF48" s="27">
        <v>0.8</v>
      </c>
      <c r="BG48" s="27">
        <v>0.81</v>
      </c>
      <c r="BH48" s="27">
        <v>0.80900000000000005</v>
      </c>
      <c r="BI48" s="27">
        <v>0.83099999999999996</v>
      </c>
      <c r="BJ48" s="27">
        <v>0.85299999999999998</v>
      </c>
      <c r="BK48" s="27">
        <v>0.83699999999999997</v>
      </c>
      <c r="BL48" s="27">
        <v>0.80200000000000005</v>
      </c>
      <c r="BM48" s="27">
        <v>5.7000000000000002E-2</v>
      </c>
      <c r="BN48" s="27"/>
      <c r="BO48" s="27"/>
      <c r="BP48" s="27"/>
    </row>
    <row r="49" spans="1:68" x14ac:dyDescent="0.25">
      <c r="A49" s="22" t="s">
        <v>237</v>
      </c>
      <c r="B49" s="15">
        <v>3</v>
      </c>
      <c r="C49" s="22" t="s">
        <v>237</v>
      </c>
      <c r="D49" s="23">
        <v>39.76</v>
      </c>
      <c r="E49" s="24">
        <v>0</v>
      </c>
      <c r="F49" s="23">
        <v>3.37</v>
      </c>
      <c r="G49" s="23">
        <v>29.51</v>
      </c>
      <c r="H49" s="25">
        <v>180.43</v>
      </c>
      <c r="I49" s="23">
        <v>248.46</v>
      </c>
      <c r="J49" s="26">
        <v>0.84050555555555595</v>
      </c>
      <c r="K49" s="24">
        <v>100867.656462869</v>
      </c>
      <c r="L49" s="24">
        <v>512</v>
      </c>
      <c r="M49" s="23">
        <v>3.4971999999999999</v>
      </c>
      <c r="N49" s="23">
        <v>9.4</v>
      </c>
      <c r="O49" s="23">
        <v>15.97</v>
      </c>
      <c r="P49" s="23">
        <v>51.75</v>
      </c>
      <c r="Q49" s="23">
        <v>62.83</v>
      </c>
      <c r="R49" s="26">
        <v>0.43976666666666703</v>
      </c>
      <c r="S49" s="26">
        <v>1.28027222222222</v>
      </c>
      <c r="T49" s="24">
        <v>153642.366613841</v>
      </c>
      <c r="U49" s="23">
        <v>99.7</v>
      </c>
      <c r="V49" s="24">
        <v>2894</v>
      </c>
      <c r="W49" s="15"/>
      <c r="X49" s="27">
        <v>0.80100000000000005</v>
      </c>
      <c r="Y49" s="27">
        <v>0.84699999999999998</v>
      </c>
      <c r="Z49" s="27">
        <v>0.86099999999999999</v>
      </c>
      <c r="AA49" s="27">
        <v>0.84099999999999997</v>
      </c>
      <c r="AB49" s="27">
        <v>0.84699999999999998</v>
      </c>
      <c r="AC49" s="27">
        <v>0.84199999999999997</v>
      </c>
      <c r="AD49" s="27">
        <v>0.84799999999999998</v>
      </c>
      <c r="AE49" s="27">
        <v>0.84599999999999997</v>
      </c>
      <c r="AF49" s="27">
        <v>0.83899999999999997</v>
      </c>
      <c r="AG49" s="27">
        <v>0.86199999999999999</v>
      </c>
      <c r="AH49" s="27">
        <v>0.83699999999999997</v>
      </c>
      <c r="AI49" s="27">
        <v>0.84799999999999998</v>
      </c>
      <c r="AJ49" s="27">
        <v>0.85199999999999998</v>
      </c>
      <c r="AK49" s="27">
        <v>0.84699999999999998</v>
      </c>
      <c r="AL49" s="27">
        <v>0.85699999999999998</v>
      </c>
      <c r="AM49" s="27">
        <v>0.85799999999999998</v>
      </c>
      <c r="AN49" s="27">
        <v>0.81200000000000006</v>
      </c>
      <c r="AO49" s="27">
        <v>0.81399999999999995</v>
      </c>
      <c r="AP49" s="27">
        <v>0.83299999999999996</v>
      </c>
      <c r="AQ49" s="27">
        <v>0.85299999999999998</v>
      </c>
      <c r="AR49" s="27">
        <v>0.83099999999999996</v>
      </c>
      <c r="AS49" s="27">
        <v>0.86899999999999999</v>
      </c>
      <c r="AT49" s="27">
        <v>0.84899999999999998</v>
      </c>
      <c r="AU49" s="27">
        <v>0.84699999999999998</v>
      </c>
      <c r="AV49" s="27">
        <v>0.84499999999999997</v>
      </c>
      <c r="AW49" s="27">
        <v>0.84499999999999997</v>
      </c>
      <c r="AX49" s="27">
        <v>0.85099999999999998</v>
      </c>
      <c r="AY49" s="27">
        <v>0.82899999999999996</v>
      </c>
      <c r="AZ49" s="27">
        <v>0.82899999999999996</v>
      </c>
      <c r="BA49" s="27">
        <v>0.83199999999999996</v>
      </c>
      <c r="BB49" s="27">
        <v>0.85099999999999998</v>
      </c>
      <c r="BC49" s="27">
        <v>0.85</v>
      </c>
      <c r="BD49" s="27">
        <v>0.83799999999999997</v>
      </c>
      <c r="BE49" s="27">
        <v>0.83899999999999997</v>
      </c>
      <c r="BF49" s="27">
        <v>0.85199999999999998</v>
      </c>
      <c r="BG49" s="27">
        <v>0.83</v>
      </c>
      <c r="BH49" s="27">
        <v>0.83199999999999996</v>
      </c>
      <c r="BI49" s="27">
        <v>0.82299999999999995</v>
      </c>
      <c r="BJ49" s="27">
        <v>0.84599999999999997</v>
      </c>
      <c r="BK49" s="27">
        <v>0.85099999999999998</v>
      </c>
      <c r="BL49" s="27">
        <v>0.77200000000000002</v>
      </c>
      <c r="BM49" s="27"/>
      <c r="BN49" s="27"/>
      <c r="BO49" s="27"/>
      <c r="BP49" s="27"/>
    </row>
    <row r="50" spans="1:68" x14ac:dyDescent="0.25">
      <c r="A50" s="16" t="s">
        <v>238</v>
      </c>
      <c r="B50" s="12">
        <v>1</v>
      </c>
      <c r="C50" s="16" t="s">
        <v>238</v>
      </c>
      <c r="D50" s="17">
        <v>39.799999999999997</v>
      </c>
      <c r="E50" s="18">
        <v>0</v>
      </c>
      <c r="F50" s="17">
        <v>2.73</v>
      </c>
      <c r="G50" s="17">
        <v>30.07</v>
      </c>
      <c r="H50" s="19">
        <v>181.24</v>
      </c>
      <c r="I50" s="17">
        <v>248.57</v>
      </c>
      <c r="J50" s="20">
        <v>0.84183055555555597</v>
      </c>
      <c r="K50" s="18">
        <v>101065.886819844</v>
      </c>
      <c r="L50" s="18">
        <v>512</v>
      </c>
      <c r="M50" s="17">
        <v>3.7279</v>
      </c>
      <c r="N50" s="17">
        <v>9.35</v>
      </c>
      <c r="O50" s="17">
        <v>15.95</v>
      </c>
      <c r="P50" s="17">
        <v>52.3</v>
      </c>
      <c r="Q50" s="17">
        <v>62.95</v>
      </c>
      <c r="R50" s="20">
        <v>0.44801666666666701</v>
      </c>
      <c r="S50" s="20">
        <v>1.2898472222222199</v>
      </c>
      <c r="T50" s="18">
        <v>154853.485580279</v>
      </c>
      <c r="U50" s="17">
        <v>99.5</v>
      </c>
      <c r="V50" s="18">
        <v>2889</v>
      </c>
      <c r="W50" s="12"/>
      <c r="X50" s="21">
        <v>0.82199999999999995</v>
      </c>
      <c r="Y50" s="21">
        <v>0.84899999999999998</v>
      </c>
      <c r="Z50" s="21">
        <v>0.85199999999999998</v>
      </c>
      <c r="AA50" s="21">
        <v>0.85499999999999998</v>
      </c>
      <c r="AB50" s="21">
        <v>0.85799999999999998</v>
      </c>
      <c r="AC50" s="21">
        <v>0.83399999999999996</v>
      </c>
      <c r="AD50" s="21">
        <v>0.83299999999999996</v>
      </c>
      <c r="AE50" s="21">
        <v>0.83899999999999997</v>
      </c>
      <c r="AF50" s="21">
        <v>0.85099999999999998</v>
      </c>
      <c r="AG50" s="21">
        <v>0.85199999999999998</v>
      </c>
      <c r="AH50" s="21">
        <v>0.84899999999999998</v>
      </c>
      <c r="AI50" s="21">
        <v>0.84</v>
      </c>
      <c r="AJ50" s="21">
        <v>0.84599999999999997</v>
      </c>
      <c r="AK50" s="21">
        <v>0.84599999999999997</v>
      </c>
      <c r="AL50" s="21">
        <v>0.84699999999999998</v>
      </c>
      <c r="AM50" s="21">
        <v>0.85099999999999998</v>
      </c>
      <c r="AN50" s="21">
        <v>0.82899999999999996</v>
      </c>
      <c r="AO50" s="21">
        <v>0.83799999999999997</v>
      </c>
      <c r="AP50" s="21">
        <v>0.85</v>
      </c>
      <c r="AQ50" s="21">
        <v>0.85099999999999998</v>
      </c>
      <c r="AR50" s="21">
        <v>0.85199999999999998</v>
      </c>
      <c r="AS50" s="21">
        <v>0.85699999999999998</v>
      </c>
      <c r="AT50" s="21">
        <v>0.82099999999999995</v>
      </c>
      <c r="AU50" s="21">
        <v>0.84899999999999998</v>
      </c>
      <c r="AV50" s="21">
        <v>0.83899999999999997</v>
      </c>
      <c r="AW50" s="21">
        <v>0.84</v>
      </c>
      <c r="AX50" s="21">
        <v>0.85299999999999998</v>
      </c>
      <c r="AY50" s="21">
        <v>0.82499999999999996</v>
      </c>
      <c r="AZ50" s="21">
        <v>0.84499999999999997</v>
      </c>
      <c r="BA50" s="21">
        <v>0.83899999999999997</v>
      </c>
      <c r="BB50" s="21">
        <v>0.84299999999999997</v>
      </c>
      <c r="BC50" s="21">
        <v>0.84299999999999997</v>
      </c>
      <c r="BD50" s="21">
        <v>0.84399999999999997</v>
      </c>
      <c r="BE50" s="21">
        <v>0.84199999999999997</v>
      </c>
      <c r="BF50" s="21">
        <v>0.84499999999999997</v>
      </c>
      <c r="BG50" s="21">
        <v>0.85899999999999999</v>
      </c>
      <c r="BH50" s="21">
        <v>0.85299999999999998</v>
      </c>
      <c r="BI50" s="21">
        <v>0.83099999999999996</v>
      </c>
      <c r="BJ50" s="21">
        <v>0.85299999999999998</v>
      </c>
      <c r="BK50" s="21">
        <v>0.85599999999999998</v>
      </c>
      <c r="BL50" s="21">
        <v>0.76500000000000001</v>
      </c>
      <c r="BM50" s="21"/>
      <c r="BN50" s="21"/>
      <c r="BO50" s="21"/>
      <c r="BP50" s="21"/>
    </row>
    <row r="51" spans="1:68" x14ac:dyDescent="0.25">
      <c r="A51" s="16" t="s">
        <v>238</v>
      </c>
      <c r="B51" s="12">
        <v>2</v>
      </c>
      <c r="C51" s="16" t="s">
        <v>238</v>
      </c>
      <c r="D51" s="17">
        <v>39.799999999999997</v>
      </c>
      <c r="E51" s="18">
        <v>0</v>
      </c>
      <c r="F51" s="17">
        <v>2.96</v>
      </c>
      <c r="G51" s="17">
        <v>29.95</v>
      </c>
      <c r="H51" s="19">
        <v>180.47</v>
      </c>
      <c r="I51" s="17">
        <v>248.45</v>
      </c>
      <c r="J51" s="20">
        <v>0.83491388888888896</v>
      </c>
      <c r="K51" s="18">
        <v>100234.71212968099</v>
      </c>
      <c r="L51" s="18">
        <v>256</v>
      </c>
      <c r="M51" s="17">
        <v>3.6414</v>
      </c>
      <c r="N51" s="17">
        <v>9.41</v>
      </c>
      <c r="O51" s="17">
        <v>15.99</v>
      </c>
      <c r="P51" s="17">
        <v>52.79</v>
      </c>
      <c r="Q51" s="17">
        <v>62.99</v>
      </c>
      <c r="R51" s="20">
        <v>0.441711111111111</v>
      </c>
      <c r="S51" s="20">
        <v>1.2766249999999999</v>
      </c>
      <c r="T51" s="18">
        <v>153256.903297932</v>
      </c>
      <c r="U51" s="17">
        <v>99.4</v>
      </c>
      <c r="V51" s="18">
        <v>2888</v>
      </c>
      <c r="W51" s="12"/>
      <c r="X51" s="21">
        <v>0.88800000000000001</v>
      </c>
      <c r="Y51" s="21">
        <v>0.85399999999999998</v>
      </c>
      <c r="Z51" s="21">
        <v>0.84499999999999997</v>
      </c>
      <c r="AA51" s="21">
        <v>0.84499999999999997</v>
      </c>
      <c r="AB51" s="21">
        <v>0.83899999999999997</v>
      </c>
      <c r="AC51" s="21">
        <v>0.83799999999999997</v>
      </c>
      <c r="AD51" s="21">
        <v>0.84599999999999997</v>
      </c>
      <c r="AE51" s="21">
        <v>0.83299999999999996</v>
      </c>
      <c r="AF51" s="21">
        <v>0.83199999999999996</v>
      </c>
      <c r="AG51" s="21">
        <v>0.81899999999999995</v>
      </c>
      <c r="AH51" s="21">
        <v>0.80300000000000005</v>
      </c>
      <c r="AI51" s="21">
        <v>0.79900000000000004</v>
      </c>
      <c r="AJ51" s="21">
        <v>0.80600000000000005</v>
      </c>
      <c r="AK51" s="21">
        <v>0.81200000000000006</v>
      </c>
      <c r="AL51" s="21">
        <v>0.81399999999999995</v>
      </c>
      <c r="AM51" s="21">
        <v>0.80200000000000005</v>
      </c>
      <c r="AN51" s="21">
        <v>0.80500000000000005</v>
      </c>
      <c r="AO51" s="21">
        <v>0.83099999999999996</v>
      </c>
      <c r="AP51" s="21">
        <v>0.81799999999999995</v>
      </c>
      <c r="AQ51" s="21">
        <v>0.85199999999999998</v>
      </c>
      <c r="AR51" s="21">
        <v>0.83899999999999997</v>
      </c>
      <c r="AS51" s="21">
        <v>0.84399999999999997</v>
      </c>
      <c r="AT51" s="21">
        <v>0.85899999999999999</v>
      </c>
      <c r="AU51" s="21">
        <v>0.85599999999999998</v>
      </c>
      <c r="AV51" s="21">
        <v>0.86299999999999999</v>
      </c>
      <c r="AW51" s="21">
        <v>0.84599999999999997</v>
      </c>
      <c r="AX51" s="21">
        <v>0.84199999999999997</v>
      </c>
      <c r="AY51" s="21">
        <v>0.86199999999999999</v>
      </c>
      <c r="AZ51" s="21">
        <v>0.85299999999999998</v>
      </c>
      <c r="BA51" s="21">
        <v>0.83199999999999996</v>
      </c>
      <c r="BB51" s="21">
        <v>0.83799999999999997</v>
      </c>
      <c r="BC51" s="21">
        <v>0.84799999999999998</v>
      </c>
      <c r="BD51" s="21">
        <v>0.85199999999999998</v>
      </c>
      <c r="BE51" s="21">
        <v>0.85</v>
      </c>
      <c r="BF51" s="21">
        <v>0.84099999999999997</v>
      </c>
      <c r="BG51" s="21">
        <v>0.86</v>
      </c>
      <c r="BH51" s="21">
        <v>0.84699999999999998</v>
      </c>
      <c r="BI51" s="21">
        <v>0.83699999999999997</v>
      </c>
      <c r="BJ51" s="21">
        <v>0.85199999999999998</v>
      </c>
      <c r="BK51" s="21">
        <v>0.85099999999999998</v>
      </c>
      <c r="BL51" s="21">
        <v>0.77400000000000002</v>
      </c>
      <c r="BM51" s="21"/>
      <c r="BN51" s="21"/>
      <c r="BO51" s="21"/>
      <c r="BP51" s="21"/>
    </row>
    <row r="52" spans="1:68" x14ac:dyDescent="0.25">
      <c r="A52" s="16" t="s">
        <v>238</v>
      </c>
      <c r="B52" s="12">
        <v>3</v>
      </c>
      <c r="C52" s="16" t="s">
        <v>238</v>
      </c>
      <c r="D52" s="17">
        <v>39.82</v>
      </c>
      <c r="E52" s="18">
        <v>0</v>
      </c>
      <c r="F52" s="17">
        <v>2.68</v>
      </c>
      <c r="G52" s="17">
        <v>30.03</v>
      </c>
      <c r="H52" s="19">
        <v>180.95</v>
      </c>
      <c r="I52" s="17">
        <v>248.52</v>
      </c>
      <c r="J52" s="20">
        <v>0.84577500000000005</v>
      </c>
      <c r="K52" s="18">
        <v>101528.156639612</v>
      </c>
      <c r="L52" s="18">
        <v>512</v>
      </c>
      <c r="M52" s="17">
        <v>3.6884000000000001</v>
      </c>
      <c r="N52" s="17">
        <v>9.4499999999999993</v>
      </c>
      <c r="O52" s="17">
        <v>15.95</v>
      </c>
      <c r="P52" s="17">
        <v>52.47</v>
      </c>
      <c r="Q52" s="17">
        <v>62.92</v>
      </c>
      <c r="R52" s="20">
        <v>0.45072222222222202</v>
      </c>
      <c r="S52" s="20">
        <v>1.29649722222222</v>
      </c>
      <c r="T52" s="18">
        <v>155632.86196413101</v>
      </c>
      <c r="U52" s="17">
        <v>99.5</v>
      </c>
      <c r="V52" s="18">
        <v>2889</v>
      </c>
      <c r="W52" s="12"/>
      <c r="X52" s="21">
        <v>0.82399999999999995</v>
      </c>
      <c r="Y52" s="21">
        <v>0.85399999999999998</v>
      </c>
      <c r="Z52" s="21">
        <v>0.84</v>
      </c>
      <c r="AA52" s="21">
        <v>0.84199999999999997</v>
      </c>
      <c r="AB52" s="21">
        <v>0.84799999999999998</v>
      </c>
      <c r="AC52" s="21">
        <v>0.84799999999999998</v>
      </c>
      <c r="AD52" s="21">
        <v>0.83799999999999997</v>
      </c>
      <c r="AE52" s="21">
        <v>0.82699999999999996</v>
      </c>
      <c r="AF52" s="21">
        <v>0.86199999999999999</v>
      </c>
      <c r="AG52" s="21">
        <v>0.871</v>
      </c>
      <c r="AH52" s="21">
        <v>0.85399999999999998</v>
      </c>
      <c r="AI52" s="21">
        <v>0.86099999999999999</v>
      </c>
      <c r="AJ52" s="21">
        <v>0.84099999999999997</v>
      </c>
      <c r="AK52" s="21">
        <v>0.82099999999999995</v>
      </c>
      <c r="AL52" s="21">
        <v>0.83799999999999997</v>
      </c>
      <c r="AM52" s="21">
        <v>0.84899999999999998</v>
      </c>
      <c r="AN52" s="21">
        <v>0.85099999999999998</v>
      </c>
      <c r="AO52" s="21">
        <v>0.85099999999999998</v>
      </c>
      <c r="AP52" s="21">
        <v>0.86599999999999999</v>
      </c>
      <c r="AQ52" s="21">
        <v>0.85</v>
      </c>
      <c r="AR52" s="21">
        <v>0.84099999999999997</v>
      </c>
      <c r="AS52" s="21">
        <v>0.86099999999999999</v>
      </c>
      <c r="AT52" s="21">
        <v>0.84099999999999997</v>
      </c>
      <c r="AU52" s="21">
        <v>0.82699999999999996</v>
      </c>
      <c r="AV52" s="21">
        <v>0.85499999999999998</v>
      </c>
      <c r="AW52" s="21">
        <v>0.84099999999999997</v>
      </c>
      <c r="AX52" s="21">
        <v>0.86299999999999999</v>
      </c>
      <c r="AY52" s="21">
        <v>0.84899999999999998</v>
      </c>
      <c r="AZ52" s="21">
        <v>0.84299999999999997</v>
      </c>
      <c r="BA52" s="21">
        <v>0.85399999999999998</v>
      </c>
      <c r="BB52" s="21">
        <v>0.84699999999999998</v>
      </c>
      <c r="BC52" s="21">
        <v>0.84799999999999998</v>
      </c>
      <c r="BD52" s="21">
        <v>0.85199999999999998</v>
      </c>
      <c r="BE52" s="21">
        <v>0.82499999999999996</v>
      </c>
      <c r="BF52" s="21">
        <v>0.86</v>
      </c>
      <c r="BG52" s="21">
        <v>0.85699999999999998</v>
      </c>
      <c r="BH52" s="21">
        <v>0.84399999999999997</v>
      </c>
      <c r="BI52" s="21">
        <v>0.84799999999999998</v>
      </c>
      <c r="BJ52" s="21">
        <v>0.85</v>
      </c>
      <c r="BK52" s="21">
        <v>0.84399999999999997</v>
      </c>
      <c r="BL52" s="21">
        <v>0.77300000000000002</v>
      </c>
      <c r="BM52" s="21"/>
      <c r="BN52" s="21"/>
      <c r="BO52" s="21"/>
      <c r="BP52" s="21"/>
    </row>
    <row r="53" spans="1:68" x14ac:dyDescent="0.25">
      <c r="A53" s="22" t="s">
        <v>239</v>
      </c>
      <c r="B53" s="15">
        <v>1</v>
      </c>
      <c r="C53" s="22" t="s">
        <v>240</v>
      </c>
      <c r="D53" s="23">
        <v>39.799999999999997</v>
      </c>
      <c r="E53" s="24">
        <v>0</v>
      </c>
      <c r="F53" s="23">
        <v>3.13</v>
      </c>
      <c r="G53" s="23">
        <v>29.63</v>
      </c>
      <c r="H53" s="25">
        <v>180.91</v>
      </c>
      <c r="I53" s="23">
        <v>248.53</v>
      </c>
      <c r="J53" s="26">
        <v>0.81833513513513501</v>
      </c>
      <c r="K53" s="24">
        <v>100896.726000389</v>
      </c>
      <c r="L53" s="24">
        <v>512</v>
      </c>
      <c r="M53" s="23">
        <v>3.5236999999999998</v>
      </c>
      <c r="N53" s="23">
        <v>9.23</v>
      </c>
      <c r="O53" s="23">
        <v>15.95</v>
      </c>
      <c r="P53" s="23">
        <v>51.31</v>
      </c>
      <c r="Q53" s="23">
        <v>62.8</v>
      </c>
      <c r="R53" s="26">
        <v>0.427054054054054</v>
      </c>
      <c r="S53" s="26">
        <v>1.2453891891891899</v>
      </c>
      <c r="T53" s="24">
        <v>153550.58176668201</v>
      </c>
      <c r="U53" s="23">
        <v>99.5</v>
      </c>
      <c r="V53" s="24">
        <v>2889</v>
      </c>
      <c r="W53" s="15"/>
      <c r="X53" s="27">
        <v>0.83499999999999996</v>
      </c>
      <c r="Y53" s="27">
        <v>0.85199999999999998</v>
      </c>
      <c r="Z53" s="27">
        <v>0.84499999999999997</v>
      </c>
      <c r="AA53" s="27">
        <v>0.877</v>
      </c>
      <c r="AB53" s="27">
        <v>0.82399999999999995</v>
      </c>
      <c r="AC53" s="27">
        <v>0.85299999999999998</v>
      </c>
      <c r="AD53" s="27">
        <v>0.83299999999999996</v>
      </c>
      <c r="AE53" s="27">
        <v>0.84399999999999997</v>
      </c>
      <c r="AF53" s="27">
        <v>0.83699999999999997</v>
      </c>
      <c r="AG53" s="27">
        <v>0.84199999999999997</v>
      </c>
      <c r="AH53" s="27">
        <v>0.84399999999999997</v>
      </c>
      <c r="AI53" s="27">
        <v>0.83</v>
      </c>
      <c r="AJ53" s="27">
        <v>0.83</v>
      </c>
      <c r="AK53" s="27">
        <v>0.85499999999999998</v>
      </c>
      <c r="AL53" s="27">
        <v>0.84399999999999997</v>
      </c>
      <c r="AM53" s="27">
        <v>0.86399999999999999</v>
      </c>
      <c r="AN53" s="27">
        <v>0.82399999999999995</v>
      </c>
      <c r="AO53" s="27">
        <v>0.85799999999999998</v>
      </c>
      <c r="AP53" s="27">
        <v>0.84099999999999997</v>
      </c>
      <c r="AQ53" s="27">
        <v>0.83599999999999997</v>
      </c>
      <c r="AR53" s="27">
        <v>0.83699999999999997</v>
      </c>
      <c r="AS53" s="27">
        <v>0.83599999999999997</v>
      </c>
      <c r="AT53" s="27">
        <v>0.83599999999999997</v>
      </c>
      <c r="AU53" s="27">
        <v>0.86299999999999999</v>
      </c>
      <c r="AV53" s="27">
        <v>0.83</v>
      </c>
      <c r="AW53" s="27">
        <v>0.83599999999999997</v>
      </c>
      <c r="AX53" s="27">
        <v>0.84199999999999997</v>
      </c>
      <c r="AY53" s="27">
        <v>0.85299999999999998</v>
      </c>
      <c r="AZ53" s="27">
        <v>0.84</v>
      </c>
      <c r="BA53" s="27">
        <v>0.84599999999999997</v>
      </c>
      <c r="BB53" s="27">
        <v>0.84299999999999997</v>
      </c>
      <c r="BC53" s="27">
        <v>0.84699999999999998</v>
      </c>
      <c r="BD53" s="27">
        <v>0.84399999999999997</v>
      </c>
      <c r="BE53" s="27">
        <v>0.83399999999999996</v>
      </c>
      <c r="BF53" s="27">
        <v>0.83599999999999997</v>
      </c>
      <c r="BG53" s="27">
        <v>0.85399999999999998</v>
      </c>
      <c r="BH53" s="27">
        <v>0.82399999999999995</v>
      </c>
      <c r="BI53" s="27">
        <v>0.84299999999999997</v>
      </c>
      <c r="BJ53" s="27">
        <v>0.84299999999999997</v>
      </c>
      <c r="BK53" s="27">
        <v>0.85699999999999998</v>
      </c>
      <c r="BL53" s="27">
        <v>0.8</v>
      </c>
      <c r="BM53" s="27">
        <v>0</v>
      </c>
      <c r="BN53" s="27"/>
      <c r="BO53" s="27"/>
      <c r="BP53" s="27"/>
    </row>
    <row r="54" spans="1:68" x14ac:dyDescent="0.25">
      <c r="A54" s="22" t="s">
        <v>239</v>
      </c>
      <c r="B54" s="15">
        <v>2</v>
      </c>
      <c r="C54" s="22" t="s">
        <v>240</v>
      </c>
      <c r="D54" s="23">
        <v>39.78</v>
      </c>
      <c r="E54" s="24">
        <v>0</v>
      </c>
      <c r="F54" s="23">
        <v>3.01</v>
      </c>
      <c r="G54" s="23">
        <v>29.57</v>
      </c>
      <c r="H54" s="25">
        <v>180.79</v>
      </c>
      <c r="I54" s="23">
        <v>248.54</v>
      </c>
      <c r="J54" s="26">
        <v>0.83992222222222201</v>
      </c>
      <c r="K54" s="24">
        <v>100796.003446263</v>
      </c>
      <c r="L54" s="24">
        <v>512</v>
      </c>
      <c r="M54" s="23">
        <v>3.5055999999999998</v>
      </c>
      <c r="N54" s="23">
        <v>9.31</v>
      </c>
      <c r="O54" s="23">
        <v>15.95</v>
      </c>
      <c r="P54" s="23">
        <v>51.39</v>
      </c>
      <c r="Q54" s="23">
        <v>62.83</v>
      </c>
      <c r="R54" s="26">
        <v>0.439355555555556</v>
      </c>
      <c r="S54" s="26">
        <v>1.27927777777778</v>
      </c>
      <c r="T54" s="24">
        <v>153520.52472138099</v>
      </c>
      <c r="U54" s="23">
        <v>99.5</v>
      </c>
      <c r="V54" s="24">
        <v>2890</v>
      </c>
      <c r="W54" s="15"/>
      <c r="X54" s="27">
        <v>0.80700000000000005</v>
      </c>
      <c r="Y54" s="27">
        <v>0.85299999999999998</v>
      </c>
      <c r="Z54" s="27">
        <v>0.84499999999999997</v>
      </c>
      <c r="AA54" s="27">
        <v>0.84399999999999997</v>
      </c>
      <c r="AB54" s="27">
        <v>0.84399999999999997</v>
      </c>
      <c r="AC54" s="27">
        <v>0.84799999999999998</v>
      </c>
      <c r="AD54" s="27">
        <v>0.84199999999999997</v>
      </c>
      <c r="AE54" s="27">
        <v>0.84199999999999997</v>
      </c>
      <c r="AF54" s="27">
        <v>0.83599999999999997</v>
      </c>
      <c r="AG54" s="27">
        <v>0.83699999999999997</v>
      </c>
      <c r="AH54" s="27">
        <v>0.85099999999999998</v>
      </c>
      <c r="AI54" s="27">
        <v>0.85</v>
      </c>
      <c r="AJ54" s="27">
        <v>0.84299999999999997</v>
      </c>
      <c r="AK54" s="27">
        <v>0.83699999999999997</v>
      </c>
      <c r="AL54" s="27">
        <v>0.85</v>
      </c>
      <c r="AM54" s="27">
        <v>0.84699999999999998</v>
      </c>
      <c r="AN54" s="27">
        <v>0.82</v>
      </c>
      <c r="AO54" s="27">
        <v>0.83799999999999997</v>
      </c>
      <c r="AP54" s="27">
        <v>0.84099999999999997</v>
      </c>
      <c r="AQ54" s="27">
        <v>0.84899999999999998</v>
      </c>
      <c r="AR54" s="27">
        <v>0.83899999999999997</v>
      </c>
      <c r="AS54" s="27">
        <v>0.85</v>
      </c>
      <c r="AT54" s="27">
        <v>0.84299999999999997</v>
      </c>
      <c r="AU54" s="27">
        <v>0.84699999999999998</v>
      </c>
      <c r="AV54" s="27">
        <v>0.82199999999999995</v>
      </c>
      <c r="AW54" s="27">
        <v>0.84099999999999997</v>
      </c>
      <c r="AX54" s="27">
        <v>0.84199999999999997</v>
      </c>
      <c r="AY54" s="27">
        <v>0.84499999999999997</v>
      </c>
      <c r="AZ54" s="27">
        <v>0.84099999999999997</v>
      </c>
      <c r="BA54" s="27">
        <v>0.83</v>
      </c>
      <c r="BB54" s="27">
        <v>0.85299999999999998</v>
      </c>
      <c r="BC54" s="27">
        <v>0.85599999999999998</v>
      </c>
      <c r="BD54" s="27">
        <v>0.84599999999999997</v>
      </c>
      <c r="BE54" s="27">
        <v>0.83899999999999997</v>
      </c>
      <c r="BF54" s="27">
        <v>0.83799999999999997</v>
      </c>
      <c r="BG54" s="27">
        <v>0.85399999999999998</v>
      </c>
      <c r="BH54" s="27">
        <v>0.83699999999999997</v>
      </c>
      <c r="BI54" s="27">
        <v>0.83499999999999996</v>
      </c>
      <c r="BJ54" s="27">
        <v>0.83699999999999997</v>
      </c>
      <c r="BK54" s="27">
        <v>0.84599999999999997</v>
      </c>
      <c r="BL54" s="27">
        <v>0.76700000000000002</v>
      </c>
      <c r="BM54" s="27"/>
      <c r="BN54" s="27"/>
      <c r="BO54" s="27"/>
      <c r="BP54" s="27"/>
    </row>
    <row r="55" spans="1:68" x14ac:dyDescent="0.25">
      <c r="A55" s="22" t="s">
        <v>239</v>
      </c>
      <c r="B55" s="15">
        <v>3</v>
      </c>
      <c r="C55" s="22" t="s">
        <v>240</v>
      </c>
      <c r="D55" s="23">
        <v>39.770000000000003</v>
      </c>
      <c r="E55" s="24">
        <v>0</v>
      </c>
      <c r="F55" s="23">
        <v>3.09</v>
      </c>
      <c r="G55" s="23">
        <v>29.62</v>
      </c>
      <c r="H55" s="25">
        <v>181.01</v>
      </c>
      <c r="I55" s="23">
        <v>248.52</v>
      </c>
      <c r="J55" s="26">
        <v>0.84117222222222199</v>
      </c>
      <c r="K55" s="24">
        <v>100949.06442016301</v>
      </c>
      <c r="L55" s="24">
        <v>512</v>
      </c>
      <c r="M55" s="23">
        <v>3.5546000000000002</v>
      </c>
      <c r="N55" s="23">
        <v>9.32</v>
      </c>
      <c r="O55" s="23">
        <v>15.96</v>
      </c>
      <c r="P55" s="23">
        <v>51.39</v>
      </c>
      <c r="Q55" s="23">
        <v>62.91</v>
      </c>
      <c r="R55" s="26">
        <v>0.43933611111111098</v>
      </c>
      <c r="S55" s="26">
        <v>1.28050833333333</v>
      </c>
      <c r="T55" s="24">
        <v>153672.75558150499</v>
      </c>
      <c r="U55" s="23">
        <v>99.4</v>
      </c>
      <c r="V55" s="24">
        <v>2888</v>
      </c>
      <c r="W55" s="15"/>
      <c r="X55" s="27">
        <v>0.82099999999999995</v>
      </c>
      <c r="Y55" s="27">
        <v>0.82599999999999996</v>
      </c>
      <c r="Z55" s="27">
        <v>0.84599999999999997</v>
      </c>
      <c r="AA55" s="27">
        <v>0.82799999999999996</v>
      </c>
      <c r="AB55" s="27">
        <v>0.84099999999999997</v>
      </c>
      <c r="AC55" s="27">
        <v>0.86399999999999999</v>
      </c>
      <c r="AD55" s="27">
        <v>0.85599999999999998</v>
      </c>
      <c r="AE55" s="27">
        <v>0.85199999999999998</v>
      </c>
      <c r="AF55" s="27">
        <v>0.84499999999999997</v>
      </c>
      <c r="AG55" s="27">
        <v>0.86299999999999999</v>
      </c>
      <c r="AH55" s="27">
        <v>0.84899999999999998</v>
      </c>
      <c r="AI55" s="27">
        <v>0.82299999999999995</v>
      </c>
      <c r="AJ55" s="27">
        <v>0.83299999999999996</v>
      </c>
      <c r="AK55" s="27">
        <v>0.85599999999999998</v>
      </c>
      <c r="AL55" s="27">
        <v>0.85399999999999998</v>
      </c>
      <c r="AM55" s="27">
        <v>0.85399999999999998</v>
      </c>
      <c r="AN55" s="27">
        <v>0.83399999999999996</v>
      </c>
      <c r="AO55" s="27">
        <v>0.84299999999999997</v>
      </c>
      <c r="AP55" s="27">
        <v>0.84499999999999997</v>
      </c>
      <c r="AQ55" s="27">
        <v>0.85</v>
      </c>
      <c r="AR55" s="27">
        <v>0.83299999999999996</v>
      </c>
      <c r="AS55" s="27">
        <v>0.83</v>
      </c>
      <c r="AT55" s="27">
        <v>0.84599999999999997</v>
      </c>
      <c r="AU55" s="27">
        <v>0.84699999999999998</v>
      </c>
      <c r="AV55" s="27">
        <v>0.84199999999999997</v>
      </c>
      <c r="AW55" s="27">
        <v>0.82899999999999996</v>
      </c>
      <c r="AX55" s="27">
        <v>0.84199999999999997</v>
      </c>
      <c r="AY55" s="27">
        <v>0.84599999999999997</v>
      </c>
      <c r="AZ55" s="27">
        <v>0.83599999999999997</v>
      </c>
      <c r="BA55" s="27">
        <v>0.83499999999999996</v>
      </c>
      <c r="BB55" s="27">
        <v>0.85199999999999998</v>
      </c>
      <c r="BC55" s="27">
        <v>0.83599999999999997</v>
      </c>
      <c r="BD55" s="27">
        <v>0.83799999999999997</v>
      </c>
      <c r="BE55" s="27">
        <v>0.84</v>
      </c>
      <c r="BF55" s="27">
        <v>0.85699999999999998</v>
      </c>
      <c r="BG55" s="27">
        <v>0.84899999999999998</v>
      </c>
      <c r="BH55" s="27">
        <v>0.82299999999999995</v>
      </c>
      <c r="BI55" s="27">
        <v>0.84299999999999997</v>
      </c>
      <c r="BJ55" s="27">
        <v>0.83799999999999997</v>
      </c>
      <c r="BK55" s="27">
        <v>0.84699999999999998</v>
      </c>
      <c r="BL55" s="27">
        <v>0.75800000000000001</v>
      </c>
      <c r="BM55" s="27"/>
      <c r="BN55" s="27"/>
      <c r="BO55" s="27"/>
      <c r="BP55" s="27"/>
    </row>
    <row r="56" spans="1:68" x14ac:dyDescent="0.25">
      <c r="A56" s="16" t="s">
        <v>241</v>
      </c>
      <c r="B56" s="12">
        <v>1</v>
      </c>
      <c r="C56" s="16" t="s">
        <v>241</v>
      </c>
      <c r="D56" s="17">
        <v>40.42</v>
      </c>
      <c r="E56" s="18">
        <v>0</v>
      </c>
      <c r="F56" s="17">
        <v>2.72</v>
      </c>
      <c r="G56" s="17">
        <v>28.64</v>
      </c>
      <c r="H56" s="19">
        <v>180.45</v>
      </c>
      <c r="I56" s="17">
        <v>248.53</v>
      </c>
      <c r="J56" s="20">
        <v>0.79048648648648701</v>
      </c>
      <c r="K56" s="18">
        <v>95069.362261670001</v>
      </c>
      <c r="L56" s="18">
        <v>512</v>
      </c>
      <c r="M56" s="17">
        <v>3.3549000000000002</v>
      </c>
      <c r="N56" s="17">
        <v>7.21</v>
      </c>
      <c r="O56" s="17">
        <v>15.65</v>
      </c>
      <c r="P56" s="17">
        <v>52.2</v>
      </c>
      <c r="Q56" s="17">
        <v>63.51</v>
      </c>
      <c r="R56" s="20">
        <v>0.39550000000000002</v>
      </c>
      <c r="S56" s="20">
        <v>1.18598648648649</v>
      </c>
      <c r="T56" s="18">
        <v>142614.699758931</v>
      </c>
      <c r="U56" s="17">
        <v>99.5</v>
      </c>
      <c r="V56" s="18">
        <v>2890</v>
      </c>
      <c r="W56" s="12"/>
      <c r="X56" s="21">
        <v>0.76800000000000002</v>
      </c>
      <c r="Y56" s="21">
        <v>0.78200000000000003</v>
      </c>
      <c r="Z56" s="21">
        <v>0.78300000000000003</v>
      </c>
      <c r="AA56" s="21">
        <v>0.79100000000000004</v>
      </c>
      <c r="AB56" s="21">
        <v>0.79400000000000004</v>
      </c>
      <c r="AC56" s="21">
        <v>0.80300000000000005</v>
      </c>
      <c r="AD56" s="21">
        <v>0.77700000000000002</v>
      </c>
      <c r="AE56" s="21">
        <v>0.79900000000000004</v>
      </c>
      <c r="AF56" s="21">
        <v>0.79800000000000004</v>
      </c>
      <c r="AG56" s="21">
        <v>0.78400000000000003</v>
      </c>
      <c r="AH56" s="21">
        <v>0.78600000000000003</v>
      </c>
      <c r="AI56" s="21">
        <v>0.79600000000000004</v>
      </c>
      <c r="AJ56" s="21">
        <v>0.79600000000000004</v>
      </c>
      <c r="AK56" s="21">
        <v>0.80800000000000005</v>
      </c>
      <c r="AL56" s="21">
        <v>0.78600000000000003</v>
      </c>
      <c r="AM56" s="21">
        <v>0.79400000000000004</v>
      </c>
      <c r="AN56" s="21">
        <v>0.80200000000000005</v>
      </c>
      <c r="AO56" s="21">
        <v>0.78800000000000003</v>
      </c>
      <c r="AP56" s="21">
        <v>0.76900000000000002</v>
      </c>
      <c r="AQ56" s="21">
        <v>0.77400000000000002</v>
      </c>
      <c r="AR56" s="21">
        <v>0.8</v>
      </c>
      <c r="AS56" s="21">
        <v>0.88</v>
      </c>
      <c r="AT56" s="21">
        <v>0.78900000000000003</v>
      </c>
      <c r="AU56" s="21">
        <v>0.78300000000000003</v>
      </c>
      <c r="AV56" s="21">
        <v>0.81499999999999995</v>
      </c>
      <c r="AW56" s="21">
        <v>0.79500000000000004</v>
      </c>
      <c r="AX56" s="21">
        <v>0.79100000000000004</v>
      </c>
      <c r="AY56" s="21">
        <v>0.79</v>
      </c>
      <c r="AZ56" s="21">
        <v>0.80800000000000005</v>
      </c>
      <c r="BA56" s="21">
        <v>0.79500000000000004</v>
      </c>
      <c r="BB56" s="21">
        <v>0.78700000000000003</v>
      </c>
      <c r="BC56" s="21">
        <v>0.78200000000000003</v>
      </c>
      <c r="BD56" s="21">
        <v>0.79</v>
      </c>
      <c r="BE56" s="21">
        <v>0.79300000000000004</v>
      </c>
      <c r="BF56" s="21">
        <v>0.80100000000000005</v>
      </c>
      <c r="BG56" s="21">
        <v>0.79</v>
      </c>
      <c r="BH56" s="21">
        <v>0.8</v>
      </c>
      <c r="BI56" s="21">
        <v>0.8</v>
      </c>
      <c r="BJ56" s="21">
        <v>0.76700000000000002</v>
      </c>
      <c r="BK56" s="21">
        <v>0.76500000000000001</v>
      </c>
      <c r="BL56" s="21">
        <v>0.80300000000000005</v>
      </c>
      <c r="BM56" s="21">
        <v>0.66100000000000003</v>
      </c>
      <c r="BN56" s="21"/>
      <c r="BO56" s="21"/>
      <c r="BP56" s="21"/>
    </row>
    <row r="57" spans="1:68" x14ac:dyDescent="0.25">
      <c r="A57" s="16" t="s">
        <v>241</v>
      </c>
      <c r="B57" s="12">
        <v>2</v>
      </c>
      <c r="C57" s="16" t="s">
        <v>241</v>
      </c>
      <c r="D57" s="17">
        <v>44.97</v>
      </c>
      <c r="E57" s="18">
        <v>0</v>
      </c>
      <c r="F57" s="17">
        <v>2.48</v>
      </c>
      <c r="G57" s="17">
        <v>28.56</v>
      </c>
      <c r="H57" s="19">
        <v>181.67</v>
      </c>
      <c r="I57" s="17">
        <v>248.62</v>
      </c>
      <c r="J57" s="20">
        <v>0.77186190476190497</v>
      </c>
      <c r="K57" s="18">
        <v>94805.132454366001</v>
      </c>
      <c r="L57" s="18">
        <v>512</v>
      </c>
      <c r="M57" s="17">
        <v>3.3561000000000001</v>
      </c>
      <c r="N57" s="17">
        <v>7.21</v>
      </c>
      <c r="O57" s="17">
        <v>15.66</v>
      </c>
      <c r="P57" s="17">
        <v>52.05</v>
      </c>
      <c r="Q57" s="17">
        <v>63.42</v>
      </c>
      <c r="R57" s="20">
        <v>0.385297619047619</v>
      </c>
      <c r="S57" s="20">
        <v>1.15715952380952</v>
      </c>
      <c r="T57" s="18">
        <v>142130.45597446</v>
      </c>
      <c r="U57" s="17">
        <v>99.5</v>
      </c>
      <c r="V57" s="18">
        <v>2889</v>
      </c>
      <c r="W57" s="12"/>
      <c r="X57" s="21">
        <v>0.76300000000000001</v>
      </c>
      <c r="Y57" s="21">
        <v>0.77400000000000002</v>
      </c>
      <c r="Z57" s="21">
        <v>0.78300000000000003</v>
      </c>
      <c r="AA57" s="21">
        <v>0.79300000000000004</v>
      </c>
      <c r="AB57" s="21">
        <v>0.78500000000000003</v>
      </c>
      <c r="AC57" s="21">
        <v>0.77300000000000002</v>
      </c>
      <c r="AD57" s="21">
        <v>0.79300000000000004</v>
      </c>
      <c r="AE57" s="21">
        <v>0.78800000000000003</v>
      </c>
      <c r="AF57" s="21">
        <v>0.79500000000000004</v>
      </c>
      <c r="AG57" s="21">
        <v>0.79</v>
      </c>
      <c r="AH57" s="21">
        <v>0.79400000000000004</v>
      </c>
      <c r="AI57" s="21">
        <v>0.79100000000000004</v>
      </c>
      <c r="AJ57" s="21">
        <v>0.79200000000000004</v>
      </c>
      <c r="AK57" s="21">
        <v>0.76300000000000001</v>
      </c>
      <c r="AL57" s="21">
        <v>0.80200000000000005</v>
      </c>
      <c r="AM57" s="21">
        <v>0.8</v>
      </c>
      <c r="AN57" s="21">
        <v>0.79400000000000004</v>
      </c>
      <c r="AO57" s="21">
        <v>0.78</v>
      </c>
      <c r="AP57" s="21">
        <v>0.8</v>
      </c>
      <c r="AQ57" s="21">
        <v>0.79400000000000004</v>
      </c>
      <c r="AR57" s="21">
        <v>0.79500000000000004</v>
      </c>
      <c r="AS57" s="21">
        <v>0.749</v>
      </c>
      <c r="AT57" s="21">
        <v>0.78800000000000003</v>
      </c>
      <c r="AU57" s="21">
        <v>0.78800000000000003</v>
      </c>
      <c r="AV57" s="21">
        <v>0.79500000000000004</v>
      </c>
      <c r="AW57" s="21">
        <v>0.78500000000000003</v>
      </c>
      <c r="AX57" s="21">
        <v>0.78600000000000003</v>
      </c>
      <c r="AY57" s="21">
        <v>0.8</v>
      </c>
      <c r="AZ57" s="21">
        <v>0.79400000000000004</v>
      </c>
      <c r="BA57" s="21">
        <v>0.78800000000000003</v>
      </c>
      <c r="BB57" s="21">
        <v>0.80600000000000005</v>
      </c>
      <c r="BC57" s="21">
        <v>0.8</v>
      </c>
      <c r="BD57" s="21">
        <v>0.80100000000000005</v>
      </c>
      <c r="BE57" s="21">
        <v>0.79800000000000004</v>
      </c>
      <c r="BF57" s="21">
        <v>0.78900000000000003</v>
      </c>
      <c r="BG57" s="21">
        <v>0.80700000000000005</v>
      </c>
      <c r="BH57" s="21">
        <v>0.79300000000000004</v>
      </c>
      <c r="BI57" s="21">
        <v>0.79200000000000004</v>
      </c>
      <c r="BJ57" s="21">
        <v>0.79500000000000004</v>
      </c>
      <c r="BK57" s="21">
        <v>0.79600000000000004</v>
      </c>
      <c r="BL57" s="21">
        <v>0.77900000000000003</v>
      </c>
      <c r="BM57" s="21">
        <v>0.77200000000000002</v>
      </c>
      <c r="BN57" s="21">
        <v>0.79400000000000004</v>
      </c>
      <c r="BO57" s="21">
        <v>0.80700000000000005</v>
      </c>
      <c r="BP57" s="21">
        <v>0.78800000000000003</v>
      </c>
    </row>
    <row r="58" spans="1:68" x14ac:dyDescent="0.25">
      <c r="A58" s="16" t="s">
        <v>241</v>
      </c>
      <c r="B58" s="12">
        <v>3</v>
      </c>
      <c r="C58" s="16" t="s">
        <v>241</v>
      </c>
      <c r="D58" s="17">
        <v>39.76</v>
      </c>
      <c r="E58" s="18">
        <v>0</v>
      </c>
      <c r="F58" s="17">
        <v>2.54</v>
      </c>
      <c r="G58" s="17">
        <v>28.7</v>
      </c>
      <c r="H58" s="19">
        <v>180.88</v>
      </c>
      <c r="I58" s="17">
        <v>248.53</v>
      </c>
      <c r="J58" s="20">
        <v>0.79041388888888897</v>
      </c>
      <c r="K58" s="18">
        <v>94882.221726522403</v>
      </c>
      <c r="L58" s="18">
        <v>512</v>
      </c>
      <c r="M58" s="17">
        <v>3.3982000000000001</v>
      </c>
      <c r="N58" s="17">
        <v>7.26</v>
      </c>
      <c r="O58" s="17">
        <v>15.68</v>
      </c>
      <c r="P58" s="17">
        <v>52.22</v>
      </c>
      <c r="Q58" s="17">
        <v>63.38</v>
      </c>
      <c r="R58" s="20">
        <v>0.39441944444444499</v>
      </c>
      <c r="S58" s="20">
        <v>1.1848333333333301</v>
      </c>
      <c r="T58" s="18">
        <v>142224.34753513301</v>
      </c>
      <c r="U58" s="17">
        <v>99.5</v>
      </c>
      <c r="V58" s="18">
        <v>2890</v>
      </c>
      <c r="W58" s="12"/>
      <c r="X58" s="21">
        <v>0.77100000000000002</v>
      </c>
      <c r="Y58" s="21">
        <v>0.79400000000000004</v>
      </c>
      <c r="Z58" s="21">
        <v>0.79600000000000004</v>
      </c>
      <c r="AA58" s="21">
        <v>0.79900000000000004</v>
      </c>
      <c r="AB58" s="21">
        <v>0.77300000000000002</v>
      </c>
      <c r="AC58" s="21">
        <v>0.79200000000000004</v>
      </c>
      <c r="AD58" s="21">
        <v>0.78400000000000003</v>
      </c>
      <c r="AE58" s="21">
        <v>0.79800000000000004</v>
      </c>
      <c r="AF58" s="21">
        <v>0.77200000000000002</v>
      </c>
      <c r="AG58" s="21">
        <v>0.77200000000000002</v>
      </c>
      <c r="AH58" s="21">
        <v>0.80200000000000005</v>
      </c>
      <c r="AI58" s="21">
        <v>0.8</v>
      </c>
      <c r="AJ58" s="21">
        <v>0.77600000000000002</v>
      </c>
      <c r="AK58" s="21">
        <v>0.79700000000000004</v>
      </c>
      <c r="AL58" s="21">
        <v>0.79100000000000004</v>
      </c>
      <c r="AM58" s="21">
        <v>0.8</v>
      </c>
      <c r="AN58" s="21">
        <v>0.79200000000000004</v>
      </c>
      <c r="AO58" s="21">
        <v>0.77700000000000002</v>
      </c>
      <c r="AP58" s="21">
        <v>0.77800000000000002</v>
      </c>
      <c r="AQ58" s="21">
        <v>0.79900000000000004</v>
      </c>
      <c r="AR58" s="21">
        <v>0.84499999999999997</v>
      </c>
      <c r="AS58" s="21">
        <v>0.85</v>
      </c>
      <c r="AT58" s="21">
        <v>0.78900000000000003</v>
      </c>
      <c r="AU58" s="21">
        <v>0.79800000000000004</v>
      </c>
      <c r="AV58" s="21">
        <v>0.77900000000000003</v>
      </c>
      <c r="AW58" s="21">
        <v>0.78200000000000003</v>
      </c>
      <c r="AX58" s="21">
        <v>0.80400000000000005</v>
      </c>
      <c r="AY58" s="21">
        <v>0.79500000000000004</v>
      </c>
      <c r="AZ58" s="21">
        <v>0.78200000000000003</v>
      </c>
      <c r="BA58" s="21">
        <v>0.78700000000000003</v>
      </c>
      <c r="BB58" s="21">
        <v>0.79</v>
      </c>
      <c r="BC58" s="21">
        <v>0.79400000000000004</v>
      </c>
      <c r="BD58" s="21">
        <v>0.78</v>
      </c>
      <c r="BE58" s="21">
        <v>0.79500000000000004</v>
      </c>
      <c r="BF58" s="21">
        <v>0.79900000000000004</v>
      </c>
      <c r="BG58" s="21">
        <v>0.80100000000000005</v>
      </c>
      <c r="BH58" s="21">
        <v>0.78500000000000003</v>
      </c>
      <c r="BI58" s="21">
        <v>0.78300000000000003</v>
      </c>
      <c r="BJ58" s="21">
        <v>0.78500000000000003</v>
      </c>
      <c r="BK58" s="21">
        <v>0.77800000000000002</v>
      </c>
      <c r="BL58" s="21">
        <v>0.72099999999999997</v>
      </c>
      <c r="BM58" s="21"/>
      <c r="BN58" s="21"/>
      <c r="BO58" s="21"/>
      <c r="BP58" s="21"/>
    </row>
    <row r="59" spans="1:68" x14ac:dyDescent="0.25">
      <c r="A59" s="22" t="s">
        <v>242</v>
      </c>
      <c r="B59" s="15">
        <v>1</v>
      </c>
      <c r="C59" s="22" t="s">
        <v>243</v>
      </c>
      <c r="D59" s="23">
        <v>39.78</v>
      </c>
      <c r="E59" s="24">
        <v>0</v>
      </c>
      <c r="F59" s="23">
        <v>3.06</v>
      </c>
      <c r="G59" s="23">
        <v>29.7</v>
      </c>
      <c r="H59" s="25">
        <v>180.92</v>
      </c>
      <c r="I59" s="23">
        <v>248.53</v>
      </c>
      <c r="J59" s="26">
        <v>0.81731621621621597</v>
      </c>
      <c r="K59" s="24">
        <v>100730.028312885</v>
      </c>
      <c r="L59" s="24">
        <v>512</v>
      </c>
      <c r="M59" s="23">
        <v>3.5550000000000002</v>
      </c>
      <c r="N59" s="23">
        <v>9.33</v>
      </c>
      <c r="O59" s="23">
        <v>15.96</v>
      </c>
      <c r="P59" s="23">
        <v>51.68</v>
      </c>
      <c r="Q59" s="23">
        <v>62.92</v>
      </c>
      <c r="R59" s="26">
        <v>0.42894864864864901</v>
      </c>
      <c r="S59" s="26">
        <v>1.24626486486487</v>
      </c>
      <c r="T59" s="24">
        <v>153594.79264975301</v>
      </c>
      <c r="U59" s="23">
        <v>99.5</v>
      </c>
      <c r="V59" s="24">
        <v>2890</v>
      </c>
      <c r="W59" s="15"/>
      <c r="X59" s="27">
        <v>0.8</v>
      </c>
      <c r="Y59" s="27">
        <v>0.84199999999999997</v>
      </c>
      <c r="Z59" s="27">
        <v>0.82</v>
      </c>
      <c r="AA59" s="27">
        <v>0.84499999999999997</v>
      </c>
      <c r="AB59" s="27">
        <v>0.84099999999999997</v>
      </c>
      <c r="AC59" s="27">
        <v>0.83399999999999996</v>
      </c>
      <c r="AD59" s="27">
        <v>0.85399999999999998</v>
      </c>
      <c r="AE59" s="27">
        <v>0.83099999999999996</v>
      </c>
      <c r="AF59" s="27">
        <v>0.83199999999999996</v>
      </c>
      <c r="AG59" s="27">
        <v>0.84399999999999997</v>
      </c>
      <c r="AH59" s="27">
        <v>0.84699999999999998</v>
      </c>
      <c r="AI59" s="27">
        <v>0.84199999999999997</v>
      </c>
      <c r="AJ59" s="27">
        <v>0.82599999999999996</v>
      </c>
      <c r="AK59" s="27">
        <v>0.84299999999999997</v>
      </c>
      <c r="AL59" s="27">
        <v>0.84899999999999998</v>
      </c>
      <c r="AM59" s="27">
        <v>0.82299999999999995</v>
      </c>
      <c r="AN59" s="27">
        <v>0.84899999999999998</v>
      </c>
      <c r="AO59" s="27">
        <v>0.84399999999999997</v>
      </c>
      <c r="AP59" s="27">
        <v>0.83799999999999997</v>
      </c>
      <c r="AQ59" s="27">
        <v>0.83</v>
      </c>
      <c r="AR59" s="27">
        <v>0.84299999999999997</v>
      </c>
      <c r="AS59" s="27">
        <v>0.85299999999999998</v>
      </c>
      <c r="AT59" s="27">
        <v>0.84499999999999997</v>
      </c>
      <c r="AU59" s="27">
        <v>0.83699999999999997</v>
      </c>
      <c r="AV59" s="27">
        <v>0.83499999999999996</v>
      </c>
      <c r="AW59" s="27">
        <v>0.82599999999999996</v>
      </c>
      <c r="AX59" s="27">
        <v>0.83399999999999996</v>
      </c>
      <c r="AY59" s="27">
        <v>0.85299999999999998</v>
      </c>
      <c r="AZ59" s="27">
        <v>0.83899999999999997</v>
      </c>
      <c r="BA59" s="27">
        <v>0.85599999999999998</v>
      </c>
      <c r="BB59" s="27">
        <v>0.83899999999999997</v>
      </c>
      <c r="BC59" s="27">
        <v>0.84099999999999997</v>
      </c>
      <c r="BD59" s="27">
        <v>0.83499999999999996</v>
      </c>
      <c r="BE59" s="27">
        <v>0.85099999999999998</v>
      </c>
      <c r="BF59" s="27">
        <v>0.84</v>
      </c>
      <c r="BG59" s="27">
        <v>0.83699999999999997</v>
      </c>
      <c r="BH59" s="27">
        <v>0.84699999999999998</v>
      </c>
      <c r="BI59" s="27">
        <v>0.84099999999999997</v>
      </c>
      <c r="BJ59" s="27">
        <v>0.86</v>
      </c>
      <c r="BK59" s="27">
        <v>0.83899999999999997</v>
      </c>
      <c r="BL59" s="27">
        <v>0.80900000000000005</v>
      </c>
      <c r="BM59" s="27">
        <v>0</v>
      </c>
      <c r="BN59" s="27"/>
      <c r="BO59" s="27"/>
      <c r="BP59" s="27"/>
    </row>
    <row r="60" spans="1:68" x14ac:dyDescent="0.25">
      <c r="A60" s="22" t="s">
        <v>242</v>
      </c>
      <c r="B60" s="15">
        <v>2</v>
      </c>
      <c r="C60" s="22" t="s">
        <v>243</v>
      </c>
      <c r="D60" s="23">
        <v>39.76</v>
      </c>
      <c r="E60" s="24">
        <v>0</v>
      </c>
      <c r="F60" s="23">
        <v>3.1</v>
      </c>
      <c r="G60" s="23">
        <v>29.61</v>
      </c>
      <c r="H60" s="25">
        <v>181.61</v>
      </c>
      <c r="I60" s="23">
        <v>248.58</v>
      </c>
      <c r="J60" s="26">
        <v>0.83875277777777801</v>
      </c>
      <c r="K60" s="24">
        <v>100658.539297729</v>
      </c>
      <c r="L60" s="24">
        <v>512</v>
      </c>
      <c r="M60" s="23">
        <v>3.5428999999999999</v>
      </c>
      <c r="N60" s="23">
        <v>9.34</v>
      </c>
      <c r="O60" s="23">
        <v>15.95</v>
      </c>
      <c r="P60" s="23">
        <v>51.45</v>
      </c>
      <c r="Q60" s="23">
        <v>62.82</v>
      </c>
      <c r="R60" s="26">
        <v>0.43918055555555602</v>
      </c>
      <c r="S60" s="26">
        <v>1.27793333333333</v>
      </c>
      <c r="T60" s="24">
        <v>153364.980955823</v>
      </c>
      <c r="U60" s="23">
        <v>99.6</v>
      </c>
      <c r="V60" s="24">
        <v>2893</v>
      </c>
      <c r="W60" s="15"/>
      <c r="X60" s="27">
        <v>0.82599999999999996</v>
      </c>
      <c r="Y60" s="27">
        <v>0.84899999999999998</v>
      </c>
      <c r="Z60" s="27">
        <v>0.83199999999999996</v>
      </c>
      <c r="AA60" s="27">
        <v>0.84199999999999997</v>
      </c>
      <c r="AB60" s="27">
        <v>0.83299999999999996</v>
      </c>
      <c r="AC60" s="27">
        <v>0.83</v>
      </c>
      <c r="AD60" s="27">
        <v>0.84499999999999997</v>
      </c>
      <c r="AE60" s="27">
        <v>0.83299999999999996</v>
      </c>
      <c r="AF60" s="27">
        <v>0.83799999999999997</v>
      </c>
      <c r="AG60" s="27">
        <v>0.85799999999999998</v>
      </c>
      <c r="AH60" s="27">
        <v>0.85</v>
      </c>
      <c r="AI60" s="27">
        <v>0.84699999999999998</v>
      </c>
      <c r="AJ60" s="27">
        <v>0.84599999999999997</v>
      </c>
      <c r="AK60" s="27">
        <v>0.83299999999999996</v>
      </c>
      <c r="AL60" s="27">
        <v>0.84499999999999997</v>
      </c>
      <c r="AM60" s="27">
        <v>0.83699999999999997</v>
      </c>
      <c r="AN60" s="27">
        <v>0.83399999999999996</v>
      </c>
      <c r="AO60" s="27">
        <v>0.83699999999999997</v>
      </c>
      <c r="AP60" s="27">
        <v>0.82</v>
      </c>
      <c r="AQ60" s="27">
        <v>0.83899999999999997</v>
      </c>
      <c r="AR60" s="27">
        <v>0.82699999999999996</v>
      </c>
      <c r="AS60" s="27">
        <v>0.83699999999999997</v>
      </c>
      <c r="AT60" s="27">
        <v>0.85599999999999998</v>
      </c>
      <c r="AU60" s="27">
        <v>0.84299999999999997</v>
      </c>
      <c r="AV60" s="27">
        <v>0.85499999999999998</v>
      </c>
      <c r="AW60" s="27">
        <v>0.84499999999999997</v>
      </c>
      <c r="AX60" s="27">
        <v>0.83099999999999996</v>
      </c>
      <c r="AY60" s="27">
        <v>0.82499999999999996</v>
      </c>
      <c r="AZ60" s="27">
        <v>0.84899999999999998</v>
      </c>
      <c r="BA60" s="27">
        <v>0.83499999999999996</v>
      </c>
      <c r="BB60" s="27">
        <v>0.84499999999999997</v>
      </c>
      <c r="BC60" s="27">
        <v>0.83299999999999996</v>
      </c>
      <c r="BD60" s="27">
        <v>0.85699999999999998</v>
      </c>
      <c r="BE60" s="27">
        <v>0.83299999999999996</v>
      </c>
      <c r="BF60" s="27">
        <v>0.85399999999999998</v>
      </c>
      <c r="BG60" s="27">
        <v>0.86</v>
      </c>
      <c r="BH60" s="27">
        <v>0.84599999999999997</v>
      </c>
      <c r="BI60" s="27">
        <v>0.82499999999999996</v>
      </c>
      <c r="BJ60" s="27">
        <v>0.85199999999999998</v>
      </c>
      <c r="BK60" s="27">
        <v>0.83699999999999997</v>
      </c>
      <c r="BL60" s="27">
        <v>0.76</v>
      </c>
      <c r="BM60" s="27"/>
      <c r="BN60" s="27"/>
      <c r="BO60" s="27"/>
      <c r="BP60" s="27"/>
    </row>
    <row r="61" spans="1:68" x14ac:dyDescent="0.25">
      <c r="A61" s="22" t="s">
        <v>242</v>
      </c>
      <c r="B61" s="15">
        <v>3</v>
      </c>
      <c r="C61" s="22" t="s">
        <v>243</v>
      </c>
      <c r="D61" s="23">
        <v>39.78</v>
      </c>
      <c r="E61" s="24">
        <v>0</v>
      </c>
      <c r="F61" s="23">
        <v>3</v>
      </c>
      <c r="G61" s="23">
        <v>29.7</v>
      </c>
      <c r="H61" s="25">
        <v>181.44</v>
      </c>
      <c r="I61" s="23">
        <v>248.63</v>
      </c>
      <c r="J61" s="26">
        <v>0.84026388888888903</v>
      </c>
      <c r="K61" s="24">
        <v>100843.498817967</v>
      </c>
      <c r="L61" s="24">
        <v>512</v>
      </c>
      <c r="M61" s="23">
        <v>3.5750000000000002</v>
      </c>
      <c r="N61" s="23">
        <v>9.2799999999999994</v>
      </c>
      <c r="O61" s="23">
        <v>15.94</v>
      </c>
      <c r="P61" s="23">
        <v>51.46</v>
      </c>
      <c r="Q61" s="23">
        <v>62.83</v>
      </c>
      <c r="R61" s="26">
        <v>0.43835000000000002</v>
      </c>
      <c r="S61" s="26">
        <v>1.27861388888889</v>
      </c>
      <c r="T61" s="24">
        <v>153450.34070365701</v>
      </c>
      <c r="U61" s="23">
        <v>99.6</v>
      </c>
      <c r="V61" s="24">
        <v>2891</v>
      </c>
      <c r="W61" s="15"/>
      <c r="X61" s="27">
        <v>0.79900000000000004</v>
      </c>
      <c r="Y61" s="27">
        <v>0.84599999999999997</v>
      </c>
      <c r="Z61" s="27">
        <v>0.85</v>
      </c>
      <c r="AA61" s="27">
        <v>0.84299999999999997</v>
      </c>
      <c r="AB61" s="27">
        <v>0.83899999999999997</v>
      </c>
      <c r="AC61" s="27">
        <v>0.84399999999999997</v>
      </c>
      <c r="AD61" s="27">
        <v>0.84299999999999997</v>
      </c>
      <c r="AE61" s="27">
        <v>0.84299999999999997</v>
      </c>
      <c r="AF61" s="27">
        <v>0.80500000000000005</v>
      </c>
      <c r="AG61" s="27">
        <v>0.85499999999999998</v>
      </c>
      <c r="AH61" s="27">
        <v>0.84699999999999998</v>
      </c>
      <c r="AI61" s="27">
        <v>0.85</v>
      </c>
      <c r="AJ61" s="27">
        <v>0.85</v>
      </c>
      <c r="AK61" s="27">
        <v>0.85499999999999998</v>
      </c>
      <c r="AL61" s="27">
        <v>0.85099999999999998</v>
      </c>
      <c r="AM61" s="27">
        <v>0.84899999999999998</v>
      </c>
      <c r="AN61" s="27">
        <v>0.83199999999999996</v>
      </c>
      <c r="AO61" s="27">
        <v>0.83899999999999997</v>
      </c>
      <c r="AP61" s="27">
        <v>0.85499999999999998</v>
      </c>
      <c r="AQ61" s="27">
        <v>0.83499999999999996</v>
      </c>
      <c r="AR61" s="27">
        <v>0.82299999999999995</v>
      </c>
      <c r="AS61" s="27">
        <v>0.84699999999999998</v>
      </c>
      <c r="AT61" s="27">
        <v>0.83499999999999996</v>
      </c>
      <c r="AU61" s="27">
        <v>0.84699999999999998</v>
      </c>
      <c r="AV61" s="27">
        <v>0.83699999999999997</v>
      </c>
      <c r="AW61" s="27">
        <v>0.85499999999999998</v>
      </c>
      <c r="AX61" s="27">
        <v>0.84399999999999997</v>
      </c>
      <c r="AY61" s="27">
        <v>0.84499999999999997</v>
      </c>
      <c r="AZ61" s="27">
        <v>0.83899999999999997</v>
      </c>
      <c r="BA61" s="27">
        <v>0.82899999999999996</v>
      </c>
      <c r="BB61" s="27">
        <v>0.82899999999999996</v>
      </c>
      <c r="BC61" s="27">
        <v>0.85399999999999998</v>
      </c>
      <c r="BD61" s="27">
        <v>0.84499999999999997</v>
      </c>
      <c r="BE61" s="27">
        <v>0.84499999999999997</v>
      </c>
      <c r="BF61" s="27">
        <v>0.85499999999999998</v>
      </c>
      <c r="BG61" s="27">
        <v>0.85099999999999998</v>
      </c>
      <c r="BH61" s="27">
        <v>0.84099999999999997</v>
      </c>
      <c r="BI61" s="27">
        <v>0.82899999999999996</v>
      </c>
      <c r="BJ61" s="27">
        <v>0.84899999999999998</v>
      </c>
      <c r="BK61" s="27">
        <v>0.83599999999999997</v>
      </c>
      <c r="BL61" s="27">
        <v>0.75800000000000001</v>
      </c>
      <c r="BM61" s="27"/>
      <c r="BN61" s="27"/>
      <c r="BO61" s="27"/>
      <c r="BP61" s="27"/>
    </row>
    <row r="62" spans="1:68" x14ac:dyDescent="0.25">
      <c r="A62" s="16" t="s">
        <v>244</v>
      </c>
      <c r="B62" s="12">
        <v>1</v>
      </c>
      <c r="C62" s="16" t="s">
        <v>244</v>
      </c>
      <c r="D62" s="17">
        <v>39.799999999999997</v>
      </c>
      <c r="E62" s="18">
        <v>0</v>
      </c>
      <c r="F62" s="17">
        <v>3.06</v>
      </c>
      <c r="G62" s="17">
        <v>29.54</v>
      </c>
      <c r="H62" s="19">
        <v>180.82</v>
      </c>
      <c r="I62" s="17">
        <v>248.5</v>
      </c>
      <c r="J62" s="20">
        <v>0.84168333333333301</v>
      </c>
      <c r="K62" s="18">
        <v>101009.813460844</v>
      </c>
      <c r="L62" s="18">
        <v>512</v>
      </c>
      <c r="M62" s="17">
        <v>3.5072999999999999</v>
      </c>
      <c r="N62" s="17">
        <v>9.35</v>
      </c>
      <c r="O62" s="17">
        <v>15.94</v>
      </c>
      <c r="P62" s="17">
        <v>51.49</v>
      </c>
      <c r="Q62" s="17">
        <v>62.83</v>
      </c>
      <c r="R62" s="20">
        <v>0.44075277777777799</v>
      </c>
      <c r="S62" s="20">
        <v>1.28243611111111</v>
      </c>
      <c r="T62" s="18">
        <v>153903.36660087301</v>
      </c>
      <c r="U62" s="17">
        <v>99.6</v>
      </c>
      <c r="V62" s="18">
        <v>2892</v>
      </c>
      <c r="W62" s="12"/>
      <c r="X62" s="21">
        <v>0.82</v>
      </c>
      <c r="Y62" s="21">
        <v>0.84599999999999997</v>
      </c>
      <c r="Z62" s="21">
        <v>0.83799999999999997</v>
      </c>
      <c r="AA62" s="21">
        <v>0.84799999999999998</v>
      </c>
      <c r="AB62" s="21">
        <v>0.83499999999999996</v>
      </c>
      <c r="AC62" s="21">
        <v>0.84399999999999997</v>
      </c>
      <c r="AD62" s="21">
        <v>0.86299999999999999</v>
      </c>
      <c r="AE62" s="21">
        <v>0.84099999999999997</v>
      </c>
      <c r="AF62" s="21">
        <v>0.83199999999999996</v>
      </c>
      <c r="AG62" s="21">
        <v>0.84699999999999998</v>
      </c>
      <c r="AH62" s="21">
        <v>0.84399999999999997</v>
      </c>
      <c r="AI62" s="21">
        <v>0.85</v>
      </c>
      <c r="AJ62" s="21">
        <v>0.83899999999999997</v>
      </c>
      <c r="AK62" s="21">
        <v>0.85499999999999998</v>
      </c>
      <c r="AL62" s="21">
        <v>0.84899999999999998</v>
      </c>
      <c r="AM62" s="21">
        <v>0.84899999999999998</v>
      </c>
      <c r="AN62" s="21">
        <v>0.84399999999999997</v>
      </c>
      <c r="AO62" s="21">
        <v>0.85399999999999998</v>
      </c>
      <c r="AP62" s="21">
        <v>0.85</v>
      </c>
      <c r="AQ62" s="21">
        <v>0.84599999999999997</v>
      </c>
      <c r="AR62" s="21">
        <v>0.83199999999999996</v>
      </c>
      <c r="AS62" s="21">
        <v>0.83499999999999996</v>
      </c>
      <c r="AT62" s="21">
        <v>0.85599999999999998</v>
      </c>
      <c r="AU62" s="21">
        <v>0.83899999999999997</v>
      </c>
      <c r="AV62" s="21">
        <v>0.81200000000000006</v>
      </c>
      <c r="AW62" s="21">
        <v>0.83</v>
      </c>
      <c r="AX62" s="21">
        <v>0.87</v>
      </c>
      <c r="AY62" s="21">
        <v>0.83699999999999997</v>
      </c>
      <c r="AZ62" s="21">
        <v>0.84799999999999998</v>
      </c>
      <c r="BA62" s="21">
        <v>0.83899999999999997</v>
      </c>
      <c r="BB62" s="21">
        <v>0.82799999999999996</v>
      </c>
      <c r="BC62" s="21">
        <v>0.85799999999999998</v>
      </c>
      <c r="BD62" s="21">
        <v>0.84099999999999997</v>
      </c>
      <c r="BE62" s="21">
        <v>0.83699999999999997</v>
      </c>
      <c r="BF62" s="21">
        <v>0.85699999999999998</v>
      </c>
      <c r="BG62" s="21">
        <v>0.86</v>
      </c>
      <c r="BH62" s="21">
        <v>0.84499999999999997</v>
      </c>
      <c r="BI62" s="21">
        <v>0.82699999999999996</v>
      </c>
      <c r="BJ62" s="21">
        <v>0.85099999999999998</v>
      </c>
      <c r="BK62" s="21">
        <v>0.82899999999999996</v>
      </c>
      <c r="BL62" s="21">
        <v>0.76200000000000001</v>
      </c>
      <c r="BM62" s="21"/>
      <c r="BN62" s="21"/>
      <c r="BO62" s="21"/>
      <c r="BP62" s="21"/>
    </row>
    <row r="63" spans="1:68" x14ac:dyDescent="0.25">
      <c r="A63" s="16" t="s">
        <v>244</v>
      </c>
      <c r="B63" s="12">
        <v>2</v>
      </c>
      <c r="C63" s="16" t="s">
        <v>244</v>
      </c>
      <c r="D63" s="17">
        <v>39.81</v>
      </c>
      <c r="E63" s="18">
        <v>0</v>
      </c>
      <c r="F63" s="17">
        <v>3.1</v>
      </c>
      <c r="G63" s="17">
        <v>29.58</v>
      </c>
      <c r="H63" s="19">
        <v>181.64</v>
      </c>
      <c r="I63" s="17">
        <v>248.65</v>
      </c>
      <c r="J63" s="20">
        <v>0.81868108108108095</v>
      </c>
      <c r="K63" s="18">
        <v>100942.432657595</v>
      </c>
      <c r="L63" s="18">
        <v>512</v>
      </c>
      <c r="M63" s="17">
        <v>3.5402</v>
      </c>
      <c r="N63" s="17">
        <v>9.34</v>
      </c>
      <c r="O63" s="17">
        <v>15.97</v>
      </c>
      <c r="P63" s="17">
        <v>51.82</v>
      </c>
      <c r="Q63" s="17">
        <v>62.9</v>
      </c>
      <c r="R63" s="20">
        <v>0.42864324324324299</v>
      </c>
      <c r="S63" s="20">
        <v>1.2473243243243199</v>
      </c>
      <c r="T63" s="18">
        <v>153794.168286587</v>
      </c>
      <c r="U63" s="17">
        <v>99.5</v>
      </c>
      <c r="V63" s="18">
        <v>2889</v>
      </c>
      <c r="W63" s="12"/>
      <c r="X63" s="21">
        <v>0.82899999999999996</v>
      </c>
      <c r="Y63" s="21">
        <v>0.84599999999999997</v>
      </c>
      <c r="Z63" s="21">
        <v>0.83399999999999996</v>
      </c>
      <c r="AA63" s="21">
        <v>0.82299999999999995</v>
      </c>
      <c r="AB63" s="21">
        <v>0.83899999999999997</v>
      </c>
      <c r="AC63" s="21">
        <v>0.85199999999999998</v>
      </c>
      <c r="AD63" s="21">
        <v>0.84499999999999997</v>
      </c>
      <c r="AE63" s="21">
        <v>0.85199999999999998</v>
      </c>
      <c r="AF63" s="21">
        <v>0.83</v>
      </c>
      <c r="AG63" s="21">
        <v>0.84499999999999997</v>
      </c>
      <c r="AH63" s="21">
        <v>0.84499999999999997</v>
      </c>
      <c r="AI63" s="21">
        <v>0.83499999999999996</v>
      </c>
      <c r="AJ63" s="21">
        <v>0.84299999999999997</v>
      </c>
      <c r="AK63" s="21">
        <v>0.83199999999999996</v>
      </c>
      <c r="AL63" s="21">
        <v>0.84199999999999997</v>
      </c>
      <c r="AM63" s="21">
        <v>0.86</v>
      </c>
      <c r="AN63" s="21">
        <v>0.82199999999999995</v>
      </c>
      <c r="AO63" s="21">
        <v>0.84799999999999998</v>
      </c>
      <c r="AP63" s="21">
        <v>0.84799999999999998</v>
      </c>
      <c r="AQ63" s="21">
        <v>0.84699999999999998</v>
      </c>
      <c r="AR63" s="21">
        <v>0.83799999999999997</v>
      </c>
      <c r="AS63" s="21">
        <v>0.84299999999999997</v>
      </c>
      <c r="AT63" s="21">
        <v>0.85799999999999998</v>
      </c>
      <c r="AU63" s="21">
        <v>0.84299999999999997</v>
      </c>
      <c r="AV63" s="21">
        <v>0.80800000000000005</v>
      </c>
      <c r="AW63" s="21">
        <v>0.84599999999999997</v>
      </c>
      <c r="AX63" s="21">
        <v>0.84399999999999997</v>
      </c>
      <c r="AY63" s="21">
        <v>0.83499999999999996</v>
      </c>
      <c r="AZ63" s="21">
        <v>0.82899999999999996</v>
      </c>
      <c r="BA63" s="21">
        <v>0.85</v>
      </c>
      <c r="BB63" s="21">
        <v>0.85199999999999998</v>
      </c>
      <c r="BC63" s="21">
        <v>0.84799999999999998</v>
      </c>
      <c r="BD63" s="21">
        <v>0.85</v>
      </c>
      <c r="BE63" s="21">
        <v>0.83199999999999996</v>
      </c>
      <c r="BF63" s="21">
        <v>0.84799999999999998</v>
      </c>
      <c r="BG63" s="21">
        <v>0.85</v>
      </c>
      <c r="BH63" s="21">
        <v>0.85299999999999998</v>
      </c>
      <c r="BI63" s="21">
        <v>0.84</v>
      </c>
      <c r="BJ63" s="21">
        <v>0.85199999999999998</v>
      </c>
      <c r="BK63" s="21">
        <v>0.85399999999999998</v>
      </c>
      <c r="BL63" s="21">
        <v>0.77200000000000002</v>
      </c>
      <c r="BM63" s="21">
        <v>0</v>
      </c>
      <c r="BN63" s="21"/>
      <c r="BO63" s="21"/>
      <c r="BP63" s="21"/>
    </row>
    <row r="64" spans="1:68" x14ac:dyDescent="0.25">
      <c r="A64" s="16" t="s">
        <v>244</v>
      </c>
      <c r="B64" s="12">
        <v>3</v>
      </c>
      <c r="C64" s="16" t="s">
        <v>244</v>
      </c>
      <c r="D64" s="17">
        <v>39.76</v>
      </c>
      <c r="E64" s="18">
        <v>0</v>
      </c>
      <c r="F64" s="17">
        <v>3.08</v>
      </c>
      <c r="G64" s="17">
        <v>29.57</v>
      </c>
      <c r="H64" s="19">
        <v>181.52</v>
      </c>
      <c r="I64" s="17">
        <v>248.65</v>
      </c>
      <c r="J64" s="20">
        <v>0.84079999999999999</v>
      </c>
      <c r="K64" s="18">
        <v>100910.715279711</v>
      </c>
      <c r="L64" s="18">
        <v>2097152</v>
      </c>
      <c r="M64" s="17">
        <v>3.5139999999999998</v>
      </c>
      <c r="N64" s="17">
        <v>9.4</v>
      </c>
      <c r="O64" s="17">
        <v>15.96</v>
      </c>
      <c r="P64" s="17">
        <v>51.64</v>
      </c>
      <c r="Q64" s="17">
        <v>62.87</v>
      </c>
      <c r="R64" s="20">
        <v>0.44146666666666701</v>
      </c>
      <c r="S64" s="20">
        <v>1.28226666666667</v>
      </c>
      <c r="T64" s="18">
        <v>153892.76370720801</v>
      </c>
      <c r="U64" s="17">
        <v>99.5</v>
      </c>
      <c r="V64" s="18">
        <v>2890</v>
      </c>
      <c r="W64" s="12"/>
      <c r="X64" s="21">
        <v>0.91100000000000003</v>
      </c>
      <c r="Y64" s="21">
        <v>0.85199999999999998</v>
      </c>
      <c r="Z64" s="21">
        <v>0.83599999999999997</v>
      </c>
      <c r="AA64" s="21">
        <v>0.84399999999999997</v>
      </c>
      <c r="AB64" s="21">
        <v>0.82799999999999996</v>
      </c>
      <c r="AC64" s="21">
        <v>0.82499999999999996</v>
      </c>
      <c r="AD64" s="21">
        <v>0.84899999999999998</v>
      </c>
      <c r="AE64" s="21">
        <v>0.82899999999999996</v>
      </c>
      <c r="AF64" s="21">
        <v>0.84499999999999997</v>
      </c>
      <c r="AG64" s="21">
        <v>0.83799999999999997</v>
      </c>
      <c r="AH64" s="21">
        <v>0.84399999999999997</v>
      </c>
      <c r="AI64" s="21">
        <v>0.84299999999999997</v>
      </c>
      <c r="AJ64" s="21">
        <v>0.83299999999999996</v>
      </c>
      <c r="AK64" s="21">
        <v>0.84199999999999997</v>
      </c>
      <c r="AL64" s="21">
        <v>0.85299999999999998</v>
      </c>
      <c r="AM64" s="21">
        <v>0.84899999999999998</v>
      </c>
      <c r="AN64" s="21">
        <v>0.84599999999999997</v>
      </c>
      <c r="AO64" s="21">
        <v>0.83899999999999997</v>
      </c>
      <c r="AP64" s="21">
        <v>0.85599999999999998</v>
      </c>
      <c r="AQ64" s="21">
        <v>0.85299999999999998</v>
      </c>
      <c r="AR64" s="21">
        <v>0.83599999999999997</v>
      </c>
      <c r="AS64" s="21">
        <v>0.84299999999999997</v>
      </c>
      <c r="AT64" s="21">
        <v>0.85</v>
      </c>
      <c r="AU64" s="21">
        <v>0.84299999999999997</v>
      </c>
      <c r="AV64" s="21">
        <v>0.85599999999999998</v>
      </c>
      <c r="AW64" s="21">
        <v>0.82799999999999996</v>
      </c>
      <c r="AX64" s="21">
        <v>0.84199999999999997</v>
      </c>
      <c r="AY64" s="21">
        <v>0.83799999999999997</v>
      </c>
      <c r="AZ64" s="21">
        <v>0.83299999999999996</v>
      </c>
      <c r="BA64" s="21">
        <v>0.83099999999999996</v>
      </c>
      <c r="BB64" s="21">
        <v>0.86</v>
      </c>
      <c r="BC64" s="21">
        <v>0.82</v>
      </c>
      <c r="BD64" s="21">
        <v>0.85499999999999998</v>
      </c>
      <c r="BE64" s="21">
        <v>0.84599999999999997</v>
      </c>
      <c r="BF64" s="21">
        <v>0.85899999999999999</v>
      </c>
      <c r="BG64" s="21">
        <v>0.85099999999999998</v>
      </c>
      <c r="BH64" s="21">
        <v>0.84199999999999997</v>
      </c>
      <c r="BI64" s="21">
        <v>0.84499999999999997</v>
      </c>
      <c r="BJ64" s="21">
        <v>0.83399999999999996</v>
      </c>
      <c r="BK64" s="21">
        <v>0.83499999999999996</v>
      </c>
      <c r="BL64" s="21">
        <v>0.77900000000000003</v>
      </c>
      <c r="BM64" s="21"/>
      <c r="BN64" s="21"/>
      <c r="BO64" s="21"/>
      <c r="BP64" s="21"/>
    </row>
    <row r="65" spans="1:68" x14ac:dyDescent="0.25">
      <c r="A65" s="22" t="s">
        <v>245</v>
      </c>
      <c r="B65" s="15">
        <v>1</v>
      </c>
      <c r="C65" s="22" t="s">
        <v>245</v>
      </c>
      <c r="D65" s="23">
        <v>46.54</v>
      </c>
      <c r="E65" s="24">
        <v>0</v>
      </c>
      <c r="F65" s="23">
        <v>4.91</v>
      </c>
      <c r="G65" s="23">
        <v>29.54</v>
      </c>
      <c r="H65" s="25">
        <v>181.49</v>
      </c>
      <c r="I65" s="23">
        <v>248.57</v>
      </c>
      <c r="J65" s="26">
        <v>0.87876976744185997</v>
      </c>
      <c r="K65" s="24">
        <v>105504.569785653</v>
      </c>
      <c r="L65" s="24">
        <v>512</v>
      </c>
      <c r="M65" s="23">
        <v>3.3626</v>
      </c>
      <c r="N65" s="23">
        <v>9.59</v>
      </c>
      <c r="O65" s="23">
        <v>15.89</v>
      </c>
      <c r="P65" s="23">
        <v>51.12</v>
      </c>
      <c r="Q65" s="23">
        <v>62.82</v>
      </c>
      <c r="R65" s="26">
        <v>0.449039534883721</v>
      </c>
      <c r="S65" s="26">
        <v>1.3278093023255799</v>
      </c>
      <c r="T65" s="24">
        <v>159414.59993922501</v>
      </c>
      <c r="U65" s="23">
        <v>99.6</v>
      </c>
      <c r="V65" s="24">
        <v>2892</v>
      </c>
      <c r="W65" s="15"/>
      <c r="X65" s="27">
        <v>0.86399999999999999</v>
      </c>
      <c r="Y65" s="27">
        <v>0.85499999999999998</v>
      </c>
      <c r="Z65" s="27">
        <v>0.87</v>
      </c>
      <c r="AA65" s="27">
        <v>0.86399999999999999</v>
      </c>
      <c r="AB65" s="27">
        <v>0.88200000000000001</v>
      </c>
      <c r="AC65" s="27">
        <v>0.876</v>
      </c>
      <c r="AD65" s="27">
        <v>0.88900000000000001</v>
      </c>
      <c r="AE65" s="27">
        <v>0.88200000000000001</v>
      </c>
      <c r="AF65" s="27">
        <v>0.86299999999999999</v>
      </c>
      <c r="AG65" s="27">
        <v>0.86</v>
      </c>
      <c r="AH65" s="27">
        <v>0.88600000000000001</v>
      </c>
      <c r="AI65" s="27">
        <v>0.88200000000000001</v>
      </c>
      <c r="AJ65" s="27">
        <v>0.877</v>
      </c>
      <c r="AK65" s="27">
        <v>0.88300000000000001</v>
      </c>
      <c r="AL65" s="27">
        <v>0.90500000000000003</v>
      </c>
      <c r="AM65" s="27">
        <v>0.874</v>
      </c>
      <c r="AN65" s="27">
        <v>0.86899999999999999</v>
      </c>
      <c r="AO65" s="27">
        <v>0.877</v>
      </c>
      <c r="AP65" s="27">
        <v>0.88700000000000001</v>
      </c>
      <c r="AQ65" s="27">
        <v>0.86499999999999999</v>
      </c>
      <c r="AR65" s="27">
        <v>0.876</v>
      </c>
      <c r="AS65" s="27">
        <v>0.873</v>
      </c>
      <c r="AT65" s="27">
        <v>0.88600000000000001</v>
      </c>
      <c r="AU65" s="27">
        <v>0.878</v>
      </c>
      <c r="AV65" s="27">
        <v>0.89300000000000002</v>
      </c>
      <c r="AW65" s="27">
        <v>0.86</v>
      </c>
      <c r="AX65" s="27">
        <v>0.88200000000000001</v>
      </c>
      <c r="AY65" s="27">
        <v>0.874</v>
      </c>
      <c r="AZ65" s="27">
        <v>0.874</v>
      </c>
      <c r="BA65" s="27">
        <v>0.86499999999999999</v>
      </c>
      <c r="BB65" s="27">
        <v>0.89</v>
      </c>
      <c r="BC65" s="27">
        <v>0.876</v>
      </c>
      <c r="BD65" s="27">
        <v>0.88500000000000001</v>
      </c>
      <c r="BE65" s="27">
        <v>0.89</v>
      </c>
      <c r="BF65" s="27">
        <v>0.88500000000000001</v>
      </c>
      <c r="BG65" s="27">
        <v>0.878</v>
      </c>
      <c r="BH65" s="27">
        <v>0.89400000000000002</v>
      </c>
      <c r="BI65" s="27">
        <v>0.89900000000000002</v>
      </c>
      <c r="BJ65" s="27">
        <v>0.89200000000000002</v>
      </c>
      <c r="BK65" s="27">
        <v>0.87</v>
      </c>
      <c r="BL65" s="27">
        <v>0.88500000000000001</v>
      </c>
      <c r="BM65" s="27">
        <v>0.88400000000000001</v>
      </c>
      <c r="BN65" s="27">
        <v>0.88900000000000001</v>
      </c>
      <c r="BO65" s="27">
        <v>0.88800000000000001</v>
      </c>
      <c r="BP65" s="27">
        <v>0.871</v>
      </c>
    </row>
    <row r="66" spans="1:68" x14ac:dyDescent="0.25">
      <c r="A66" s="22" t="s">
        <v>245</v>
      </c>
      <c r="B66" s="15">
        <v>2</v>
      </c>
      <c r="C66" s="22" t="s">
        <v>245</v>
      </c>
      <c r="D66" s="23">
        <v>39.81</v>
      </c>
      <c r="E66" s="24">
        <v>0</v>
      </c>
      <c r="F66" s="23">
        <v>4.92</v>
      </c>
      <c r="G66" s="23">
        <v>29.51</v>
      </c>
      <c r="H66" s="25">
        <v>180.24</v>
      </c>
      <c r="I66" s="23">
        <v>248.44</v>
      </c>
      <c r="J66" s="26">
        <v>0.86248918918918904</v>
      </c>
      <c r="K66" s="24">
        <v>105637.208657048</v>
      </c>
      <c r="L66" s="24">
        <v>512</v>
      </c>
      <c r="M66" s="23">
        <v>3.3666</v>
      </c>
      <c r="N66" s="23">
        <v>9.51</v>
      </c>
      <c r="O66" s="23">
        <v>15.88</v>
      </c>
      <c r="P66" s="23">
        <v>50.91</v>
      </c>
      <c r="Q66" s="23">
        <v>62.82</v>
      </c>
      <c r="R66" s="26">
        <v>0.437648648648649</v>
      </c>
      <c r="S66" s="26">
        <v>1.3001378378378401</v>
      </c>
      <c r="T66" s="24">
        <v>159315.53829078801</v>
      </c>
      <c r="U66" s="23">
        <v>99.6</v>
      </c>
      <c r="V66" s="24">
        <v>2893</v>
      </c>
      <c r="W66" s="15"/>
      <c r="X66" s="27">
        <v>0.873</v>
      </c>
      <c r="Y66" s="27">
        <v>0.88100000000000001</v>
      </c>
      <c r="Z66" s="27">
        <v>0.89800000000000002</v>
      </c>
      <c r="AA66" s="27">
        <v>0.88300000000000001</v>
      </c>
      <c r="AB66" s="27">
        <v>0.86099999999999999</v>
      </c>
      <c r="AC66" s="27">
        <v>0.88700000000000001</v>
      </c>
      <c r="AD66" s="27">
        <v>0.89700000000000002</v>
      </c>
      <c r="AE66" s="27">
        <v>0.88200000000000001</v>
      </c>
      <c r="AF66" s="27">
        <v>0.88</v>
      </c>
      <c r="AG66" s="27">
        <v>0.90200000000000002</v>
      </c>
      <c r="AH66" s="27">
        <v>0.88500000000000001</v>
      </c>
      <c r="AI66" s="27">
        <v>0.86599999999999999</v>
      </c>
      <c r="AJ66" s="27">
        <v>0.88600000000000001</v>
      </c>
      <c r="AK66" s="27">
        <v>0.89700000000000002</v>
      </c>
      <c r="AL66" s="27">
        <v>0.876</v>
      </c>
      <c r="AM66" s="27">
        <v>0.88</v>
      </c>
      <c r="AN66" s="27">
        <v>0.85299999999999998</v>
      </c>
      <c r="AO66" s="27">
        <v>0.872</v>
      </c>
      <c r="AP66" s="27">
        <v>0.88800000000000001</v>
      </c>
      <c r="AQ66" s="27">
        <v>0.87</v>
      </c>
      <c r="AR66" s="27">
        <v>0.876</v>
      </c>
      <c r="AS66" s="27">
        <v>0.876</v>
      </c>
      <c r="AT66" s="27">
        <v>0.89600000000000002</v>
      </c>
      <c r="AU66" s="27">
        <v>0.88600000000000001</v>
      </c>
      <c r="AV66" s="27">
        <v>0.85599999999999998</v>
      </c>
      <c r="AW66" s="27">
        <v>0.89200000000000002</v>
      </c>
      <c r="AX66" s="27">
        <v>0.88400000000000001</v>
      </c>
      <c r="AY66" s="27">
        <v>0.89500000000000002</v>
      </c>
      <c r="AZ66" s="27">
        <v>0.88700000000000001</v>
      </c>
      <c r="BA66" s="27">
        <v>0.88</v>
      </c>
      <c r="BB66" s="27">
        <v>0.89400000000000002</v>
      </c>
      <c r="BC66" s="27">
        <v>0.89500000000000002</v>
      </c>
      <c r="BD66" s="27">
        <v>0.88600000000000001</v>
      </c>
      <c r="BE66" s="27">
        <v>0.89200000000000002</v>
      </c>
      <c r="BF66" s="27">
        <v>0.86799999999999999</v>
      </c>
      <c r="BG66" s="27">
        <v>0.88800000000000001</v>
      </c>
      <c r="BH66" s="27">
        <v>0.874</v>
      </c>
      <c r="BI66" s="27">
        <v>0.875</v>
      </c>
      <c r="BJ66" s="27">
        <v>0.85499999999999998</v>
      </c>
      <c r="BK66" s="27">
        <v>0.89100000000000001</v>
      </c>
      <c r="BL66" s="27">
        <v>0.85199999999999998</v>
      </c>
      <c r="BM66" s="27">
        <v>0.193</v>
      </c>
      <c r="BN66" s="27"/>
      <c r="BO66" s="27"/>
      <c r="BP66" s="27"/>
    </row>
    <row r="67" spans="1:68" x14ac:dyDescent="0.25">
      <c r="A67" s="22" t="s">
        <v>245</v>
      </c>
      <c r="B67" s="15">
        <v>3</v>
      </c>
      <c r="C67" s="22" t="s">
        <v>245</v>
      </c>
      <c r="D67" s="23">
        <v>39.81</v>
      </c>
      <c r="E67" s="24">
        <v>0</v>
      </c>
      <c r="F67" s="23">
        <v>5.17</v>
      </c>
      <c r="G67" s="23">
        <v>29.5</v>
      </c>
      <c r="H67" s="25">
        <v>182.52</v>
      </c>
      <c r="I67" s="23">
        <v>248.75</v>
      </c>
      <c r="J67" s="26">
        <v>0.81269999999999998</v>
      </c>
      <c r="K67" s="24">
        <v>98901.240346360893</v>
      </c>
      <c r="L67" s="24">
        <v>512</v>
      </c>
      <c r="M67" s="23">
        <v>3.282</v>
      </c>
      <c r="N67" s="23">
        <v>9.3699999999999992</v>
      </c>
      <c r="O67" s="23">
        <v>15.91</v>
      </c>
      <c r="P67" s="23">
        <v>51.52</v>
      </c>
      <c r="Q67" s="23">
        <v>62.9</v>
      </c>
      <c r="R67" s="26">
        <v>0.40812051282051298</v>
      </c>
      <c r="S67" s="26">
        <v>1.2208205128205101</v>
      </c>
      <c r="T67" s="24">
        <v>148567.28293938699</v>
      </c>
      <c r="U67" s="23">
        <v>99.5</v>
      </c>
      <c r="V67" s="24">
        <v>2889</v>
      </c>
      <c r="W67" s="15"/>
      <c r="X67" s="27">
        <v>0.85799999999999998</v>
      </c>
      <c r="Y67" s="27">
        <v>0.88700000000000001</v>
      </c>
      <c r="Z67" s="27">
        <v>0.94899999999999995</v>
      </c>
      <c r="AA67" s="27">
        <v>0.86499999999999999</v>
      </c>
      <c r="AB67" s="27">
        <v>0.85199999999999998</v>
      </c>
      <c r="AC67" s="27">
        <v>0.88100000000000001</v>
      </c>
      <c r="AD67" s="27">
        <v>0.874</v>
      </c>
      <c r="AE67" s="27">
        <v>0.88800000000000001</v>
      </c>
      <c r="AF67" s="27">
        <v>0.877</v>
      </c>
      <c r="AG67" s="27">
        <v>0.89700000000000002</v>
      </c>
      <c r="AH67" s="27">
        <v>0.873</v>
      </c>
      <c r="AI67" s="27">
        <v>0.879</v>
      </c>
      <c r="AJ67" s="27">
        <v>0.88400000000000001</v>
      </c>
      <c r="AK67" s="27">
        <v>0.88100000000000001</v>
      </c>
      <c r="AL67" s="27">
        <v>0.89600000000000002</v>
      </c>
      <c r="AM67" s="27">
        <v>0.88200000000000001</v>
      </c>
      <c r="AN67" s="27">
        <v>0.84399999999999997</v>
      </c>
      <c r="AO67" s="27">
        <v>0.88100000000000001</v>
      </c>
      <c r="AP67" s="27">
        <v>0.88200000000000001</v>
      </c>
      <c r="AQ67" s="27">
        <v>0.88300000000000001</v>
      </c>
      <c r="AR67" s="27">
        <v>0.878</v>
      </c>
      <c r="AS67" s="27">
        <v>0.88900000000000001</v>
      </c>
      <c r="AT67" s="27">
        <v>0.86399999999999999</v>
      </c>
      <c r="AU67" s="27">
        <v>0.872</v>
      </c>
      <c r="AV67" s="27">
        <v>0.85899999999999999</v>
      </c>
      <c r="AW67" s="27">
        <v>0.88100000000000001</v>
      </c>
      <c r="AX67" s="27">
        <v>0.86899999999999999</v>
      </c>
      <c r="AY67" s="27">
        <v>0.89600000000000002</v>
      </c>
      <c r="AZ67" s="27">
        <v>0.877</v>
      </c>
      <c r="BA67" s="27">
        <v>0.89900000000000002</v>
      </c>
      <c r="BB67" s="27">
        <v>0.88600000000000001</v>
      </c>
      <c r="BC67" s="27">
        <v>0.89</v>
      </c>
      <c r="BD67" s="27">
        <v>0.88200000000000001</v>
      </c>
      <c r="BE67" s="27">
        <v>0.873</v>
      </c>
      <c r="BF67" s="27">
        <v>0.878</v>
      </c>
      <c r="BG67" s="27">
        <v>0.89500000000000002</v>
      </c>
      <c r="BH67" s="27">
        <v>0.84599999999999997</v>
      </c>
      <c r="BI67" s="27">
        <v>0.86499999999999999</v>
      </c>
      <c r="BJ67" s="27">
        <v>0.89</v>
      </c>
      <c r="BK67" s="27">
        <v>0.89600000000000002</v>
      </c>
      <c r="BL67" s="27">
        <v>0.86499999999999999</v>
      </c>
      <c r="BM67" s="27">
        <v>4.2999999999999997E-2</v>
      </c>
      <c r="BN67" s="27">
        <v>0</v>
      </c>
      <c r="BO67" s="27">
        <v>0</v>
      </c>
      <c r="BP67" s="27"/>
    </row>
    <row r="68" spans="1:68" x14ac:dyDescent="0.25">
      <c r="A68" s="16" t="s">
        <v>246</v>
      </c>
      <c r="B68" s="12">
        <v>1</v>
      </c>
      <c r="C68" s="16" t="s">
        <v>246</v>
      </c>
      <c r="D68" s="17">
        <v>39.799999999999997</v>
      </c>
      <c r="E68" s="18">
        <v>0</v>
      </c>
      <c r="F68" s="17">
        <v>3.09</v>
      </c>
      <c r="G68" s="17">
        <v>29.64</v>
      </c>
      <c r="H68" s="19">
        <v>182.67</v>
      </c>
      <c r="I68" s="17">
        <v>248.71</v>
      </c>
      <c r="J68" s="20">
        <v>0.83980555555555603</v>
      </c>
      <c r="K68" s="18">
        <v>100781.511437227</v>
      </c>
      <c r="L68" s="18">
        <v>512</v>
      </c>
      <c r="M68" s="17">
        <v>3.5386000000000002</v>
      </c>
      <c r="N68" s="17">
        <v>9.34</v>
      </c>
      <c r="O68" s="17">
        <v>15.96</v>
      </c>
      <c r="P68" s="17">
        <v>51.72</v>
      </c>
      <c r="Q68" s="17">
        <v>62.88</v>
      </c>
      <c r="R68" s="20">
        <v>0.441194444444444</v>
      </c>
      <c r="S68" s="20">
        <v>1.2809999999999999</v>
      </c>
      <c r="T68" s="18">
        <v>153725.95124934</v>
      </c>
      <c r="U68" s="17">
        <v>99.5</v>
      </c>
      <c r="V68" s="18">
        <v>2889</v>
      </c>
      <c r="W68" s="12"/>
      <c r="X68" s="21">
        <v>0.82299999999999995</v>
      </c>
      <c r="Y68" s="21">
        <v>0.84499999999999997</v>
      </c>
      <c r="Z68" s="21">
        <v>0.84499999999999997</v>
      </c>
      <c r="AA68" s="21">
        <v>0.84299999999999997</v>
      </c>
      <c r="AB68" s="21">
        <v>0.83899999999999997</v>
      </c>
      <c r="AC68" s="21">
        <v>0.85199999999999998</v>
      </c>
      <c r="AD68" s="21">
        <v>0.84499999999999997</v>
      </c>
      <c r="AE68" s="21">
        <v>0.85399999999999998</v>
      </c>
      <c r="AF68" s="21">
        <v>0.83699999999999997</v>
      </c>
      <c r="AG68" s="21">
        <v>0.84899999999999998</v>
      </c>
      <c r="AH68" s="21">
        <v>0.85099999999999998</v>
      </c>
      <c r="AI68" s="21">
        <v>0.83899999999999997</v>
      </c>
      <c r="AJ68" s="21">
        <v>0.84099999999999997</v>
      </c>
      <c r="AK68" s="21">
        <v>0.84199999999999997</v>
      </c>
      <c r="AL68" s="21">
        <v>0.85</v>
      </c>
      <c r="AM68" s="21">
        <v>0.83699999999999997</v>
      </c>
      <c r="AN68" s="21">
        <v>0.83299999999999996</v>
      </c>
      <c r="AO68" s="21">
        <v>0.84599999999999997</v>
      </c>
      <c r="AP68" s="21">
        <v>0.82899999999999996</v>
      </c>
      <c r="AQ68" s="21">
        <v>0.83299999999999996</v>
      </c>
      <c r="AR68" s="21">
        <v>0.83199999999999996</v>
      </c>
      <c r="AS68" s="21">
        <v>0.84199999999999997</v>
      </c>
      <c r="AT68" s="21">
        <v>0.84099999999999997</v>
      </c>
      <c r="AU68" s="21">
        <v>0.85</v>
      </c>
      <c r="AV68" s="21">
        <v>0.83799999999999997</v>
      </c>
      <c r="AW68" s="21">
        <v>0.84399999999999997</v>
      </c>
      <c r="AX68" s="21">
        <v>0.84499999999999997</v>
      </c>
      <c r="AY68" s="21">
        <v>0.85</v>
      </c>
      <c r="AZ68" s="21">
        <v>0.82</v>
      </c>
      <c r="BA68" s="21">
        <v>0.84099999999999997</v>
      </c>
      <c r="BB68" s="21">
        <v>0.84099999999999997</v>
      </c>
      <c r="BC68" s="21">
        <v>0.84599999999999997</v>
      </c>
      <c r="BD68" s="21">
        <v>0.83299999999999996</v>
      </c>
      <c r="BE68" s="21">
        <v>0.83799999999999997</v>
      </c>
      <c r="BF68" s="21">
        <v>0.84</v>
      </c>
      <c r="BG68" s="21">
        <v>0.86199999999999999</v>
      </c>
      <c r="BH68" s="21">
        <v>0.84099999999999997</v>
      </c>
      <c r="BI68" s="21">
        <v>0.83699999999999997</v>
      </c>
      <c r="BJ68" s="21">
        <v>0.82799999999999996</v>
      </c>
      <c r="BK68" s="21">
        <v>0.84799999999999998</v>
      </c>
      <c r="BL68" s="21">
        <v>0.77900000000000003</v>
      </c>
      <c r="BM68" s="21"/>
      <c r="BN68" s="21"/>
      <c r="BO68" s="21"/>
      <c r="BP68" s="21"/>
    </row>
    <row r="69" spans="1:68" x14ac:dyDescent="0.25">
      <c r="A69" s="16" t="s">
        <v>246</v>
      </c>
      <c r="B69" s="12">
        <v>2</v>
      </c>
      <c r="C69" s="16" t="s">
        <v>246</v>
      </c>
      <c r="D69" s="17">
        <v>39.76</v>
      </c>
      <c r="E69" s="18">
        <v>0</v>
      </c>
      <c r="F69" s="17">
        <v>3.11</v>
      </c>
      <c r="G69" s="17">
        <v>29.49</v>
      </c>
      <c r="H69" s="19">
        <v>180.85</v>
      </c>
      <c r="I69" s="17">
        <v>248.51</v>
      </c>
      <c r="J69" s="20">
        <v>0.83608333333333296</v>
      </c>
      <c r="K69" s="18">
        <v>100336.51120129001</v>
      </c>
      <c r="L69" s="18">
        <v>512</v>
      </c>
      <c r="M69" s="17">
        <v>3.5017999999999998</v>
      </c>
      <c r="N69" s="17">
        <v>9.3699999999999992</v>
      </c>
      <c r="O69" s="17">
        <v>15.96</v>
      </c>
      <c r="P69" s="17">
        <v>51.85</v>
      </c>
      <c r="Q69" s="17">
        <v>62.91</v>
      </c>
      <c r="R69" s="20">
        <v>0.438966666666667</v>
      </c>
      <c r="S69" s="20">
        <v>1.27505</v>
      </c>
      <c r="T69" s="18">
        <v>153015.370504197</v>
      </c>
      <c r="U69" s="17">
        <v>99.5</v>
      </c>
      <c r="V69" s="18">
        <v>2889</v>
      </c>
      <c r="W69" s="12"/>
      <c r="X69" s="21">
        <v>0.80200000000000005</v>
      </c>
      <c r="Y69" s="21">
        <v>0.82</v>
      </c>
      <c r="Z69" s="21">
        <v>0.86099999999999999</v>
      </c>
      <c r="AA69" s="21">
        <v>0.82799999999999996</v>
      </c>
      <c r="AB69" s="21">
        <v>0.82099999999999995</v>
      </c>
      <c r="AC69" s="21">
        <v>0.84899999999999998</v>
      </c>
      <c r="AD69" s="21">
        <v>0.84799999999999998</v>
      </c>
      <c r="AE69" s="21">
        <v>0.83799999999999997</v>
      </c>
      <c r="AF69" s="21">
        <v>0.83499999999999996</v>
      </c>
      <c r="AG69" s="21">
        <v>0.83899999999999997</v>
      </c>
      <c r="AH69" s="21">
        <v>0.83299999999999996</v>
      </c>
      <c r="AI69" s="21">
        <v>0.84099999999999997</v>
      </c>
      <c r="AJ69" s="21">
        <v>0.83099999999999996</v>
      </c>
      <c r="AK69" s="21">
        <v>0.85399999999999998</v>
      </c>
      <c r="AL69" s="21">
        <v>0.85099999999999998</v>
      </c>
      <c r="AM69" s="21">
        <v>0.81699999999999995</v>
      </c>
      <c r="AN69" s="21">
        <v>0.82599999999999996</v>
      </c>
      <c r="AO69" s="21">
        <v>0.84299999999999997</v>
      </c>
      <c r="AP69" s="21">
        <v>0.84199999999999997</v>
      </c>
      <c r="AQ69" s="21">
        <v>0.84699999999999998</v>
      </c>
      <c r="AR69" s="21">
        <v>0.81499999999999995</v>
      </c>
      <c r="AS69" s="21">
        <v>0.84799999999999998</v>
      </c>
      <c r="AT69" s="21">
        <v>0.83</v>
      </c>
      <c r="AU69" s="21">
        <v>0.81799999999999995</v>
      </c>
      <c r="AV69" s="21">
        <v>0.82099999999999995</v>
      </c>
      <c r="AW69" s="21">
        <v>0.82099999999999995</v>
      </c>
      <c r="AX69" s="21">
        <v>0.84699999999999998</v>
      </c>
      <c r="AY69" s="21">
        <v>0.84699999999999998</v>
      </c>
      <c r="AZ69" s="21">
        <v>0.83799999999999997</v>
      </c>
      <c r="BA69" s="21">
        <v>0.84699999999999998</v>
      </c>
      <c r="BB69" s="21">
        <v>0.82699999999999996</v>
      </c>
      <c r="BC69" s="21">
        <v>0.84799999999999998</v>
      </c>
      <c r="BD69" s="21">
        <v>0.83499999999999996</v>
      </c>
      <c r="BE69" s="21">
        <v>0.83399999999999996</v>
      </c>
      <c r="BF69" s="21">
        <v>0.85299999999999998</v>
      </c>
      <c r="BG69" s="21">
        <v>0.85199999999999998</v>
      </c>
      <c r="BH69" s="21">
        <v>0.84899999999999998</v>
      </c>
      <c r="BI69" s="21">
        <v>0.84799999999999998</v>
      </c>
      <c r="BJ69" s="21">
        <v>0.84899999999999998</v>
      </c>
      <c r="BK69" s="21">
        <v>0.83799999999999997</v>
      </c>
      <c r="BL69" s="21">
        <v>0.74099999999999999</v>
      </c>
      <c r="BM69" s="21"/>
      <c r="BN69" s="21"/>
      <c r="BO69" s="21"/>
      <c r="BP69" s="21"/>
    </row>
    <row r="70" spans="1:68" x14ac:dyDescent="0.25">
      <c r="A70" s="16" t="s">
        <v>246</v>
      </c>
      <c r="B70" s="12">
        <v>3</v>
      </c>
      <c r="C70" s="16" t="s">
        <v>246</v>
      </c>
      <c r="D70" s="17">
        <v>39.729999999999997</v>
      </c>
      <c r="E70" s="18">
        <v>0</v>
      </c>
      <c r="F70" s="17">
        <v>3.06</v>
      </c>
      <c r="G70" s="17">
        <v>29.59</v>
      </c>
      <c r="H70" s="19">
        <v>182.07</v>
      </c>
      <c r="I70" s="17">
        <v>248.63</v>
      </c>
      <c r="J70" s="20">
        <v>0.83945277777777805</v>
      </c>
      <c r="K70" s="18">
        <v>100748.28814786</v>
      </c>
      <c r="L70" s="18">
        <v>512</v>
      </c>
      <c r="M70" s="17">
        <v>3.4937999999999998</v>
      </c>
      <c r="N70" s="17">
        <v>9.35</v>
      </c>
      <c r="O70" s="17">
        <v>15.95</v>
      </c>
      <c r="P70" s="17">
        <v>51.73</v>
      </c>
      <c r="Q70" s="17">
        <v>62.85</v>
      </c>
      <c r="R70" s="20">
        <v>0.440313888888889</v>
      </c>
      <c r="S70" s="20">
        <v>1.27976666666667</v>
      </c>
      <c r="T70" s="18">
        <v>153592.050325669</v>
      </c>
      <c r="U70" s="17">
        <v>99.6</v>
      </c>
      <c r="V70" s="18">
        <v>2891</v>
      </c>
      <c r="W70" s="12"/>
      <c r="X70" s="21">
        <v>0.81699999999999995</v>
      </c>
      <c r="Y70" s="21">
        <v>0.83399999999999996</v>
      </c>
      <c r="Z70" s="21">
        <v>0.84199999999999997</v>
      </c>
      <c r="AA70" s="21">
        <v>0.83699999999999997</v>
      </c>
      <c r="AB70" s="21">
        <v>0.82499999999999996</v>
      </c>
      <c r="AC70" s="21">
        <v>0.85499999999999998</v>
      </c>
      <c r="AD70" s="21">
        <v>0.85</v>
      </c>
      <c r="AE70" s="21">
        <v>0.84699999999999998</v>
      </c>
      <c r="AF70" s="21">
        <v>0.83599999999999997</v>
      </c>
      <c r="AG70" s="21">
        <v>0.85299999999999998</v>
      </c>
      <c r="AH70" s="21">
        <v>0.84599999999999997</v>
      </c>
      <c r="AI70" s="21">
        <v>0.84099999999999997</v>
      </c>
      <c r="AJ70" s="21">
        <v>0.83099999999999996</v>
      </c>
      <c r="AK70" s="21">
        <v>0.83399999999999996</v>
      </c>
      <c r="AL70" s="21">
        <v>0.84399999999999997</v>
      </c>
      <c r="AM70" s="21">
        <v>0.84899999999999998</v>
      </c>
      <c r="AN70" s="21">
        <v>0.83299999999999996</v>
      </c>
      <c r="AO70" s="21">
        <v>0.83399999999999996</v>
      </c>
      <c r="AP70" s="21">
        <v>0.83799999999999997</v>
      </c>
      <c r="AQ70" s="21">
        <v>0.83299999999999996</v>
      </c>
      <c r="AR70" s="21">
        <v>0.83499999999999996</v>
      </c>
      <c r="AS70" s="21">
        <v>0.83399999999999996</v>
      </c>
      <c r="AT70" s="21">
        <v>0.83899999999999997</v>
      </c>
      <c r="AU70" s="21">
        <v>0.84599999999999997</v>
      </c>
      <c r="AV70" s="21">
        <v>0.84199999999999997</v>
      </c>
      <c r="AW70" s="21">
        <v>0.82899999999999996</v>
      </c>
      <c r="AX70" s="21">
        <v>0.83599999999999997</v>
      </c>
      <c r="AY70" s="21">
        <v>0.84699999999999998</v>
      </c>
      <c r="AZ70" s="21">
        <v>0.84499999999999997</v>
      </c>
      <c r="BA70" s="21">
        <v>0.84699999999999998</v>
      </c>
      <c r="BB70" s="21">
        <v>0.83899999999999997</v>
      </c>
      <c r="BC70" s="21">
        <v>0.84799999999999998</v>
      </c>
      <c r="BD70" s="21">
        <v>0.84299999999999997</v>
      </c>
      <c r="BE70" s="21">
        <v>0.82299999999999995</v>
      </c>
      <c r="BF70" s="21">
        <v>0.84699999999999998</v>
      </c>
      <c r="BG70" s="21">
        <v>0.84099999999999997</v>
      </c>
      <c r="BH70" s="21">
        <v>0.84699999999999998</v>
      </c>
      <c r="BI70" s="21">
        <v>0.83499999999999996</v>
      </c>
      <c r="BJ70" s="21">
        <v>0.85199999999999998</v>
      </c>
      <c r="BK70" s="21">
        <v>0.84099999999999997</v>
      </c>
      <c r="BL70" s="21">
        <v>0.78200000000000003</v>
      </c>
      <c r="BM70" s="21"/>
      <c r="BN70" s="21"/>
      <c r="BO70" s="21"/>
      <c r="BP70" s="21"/>
    </row>
    <row r="71" spans="1:68" x14ac:dyDescent="0.25">
      <c r="A71" s="22" t="s">
        <v>247</v>
      </c>
      <c r="B71" s="15">
        <v>1</v>
      </c>
      <c r="C71" s="22" t="s">
        <v>247</v>
      </c>
      <c r="D71" s="23">
        <v>39.799999999999997</v>
      </c>
      <c r="E71" s="24">
        <v>0</v>
      </c>
      <c r="F71" s="23">
        <v>3.04</v>
      </c>
      <c r="G71" s="23">
        <v>29.61</v>
      </c>
      <c r="H71" s="25">
        <v>180.97</v>
      </c>
      <c r="I71" s="23">
        <v>248.58</v>
      </c>
      <c r="J71" s="26">
        <v>0.84091388888888896</v>
      </c>
      <c r="K71" s="24">
        <v>100911.86930429</v>
      </c>
      <c r="L71" s="24">
        <v>512</v>
      </c>
      <c r="M71" s="23">
        <v>3.5457999999999998</v>
      </c>
      <c r="N71" s="23">
        <v>9.33</v>
      </c>
      <c r="O71" s="23">
        <v>15.95</v>
      </c>
      <c r="P71" s="23">
        <v>51.75</v>
      </c>
      <c r="Q71" s="23">
        <v>62.91</v>
      </c>
      <c r="R71" s="26">
        <v>0.44163888888888903</v>
      </c>
      <c r="S71" s="26">
        <v>1.2825527777777801</v>
      </c>
      <c r="T71" s="24">
        <v>153910.146699267</v>
      </c>
      <c r="U71" s="23">
        <v>99.6</v>
      </c>
      <c r="V71" s="24">
        <v>2891</v>
      </c>
      <c r="W71" s="15"/>
      <c r="X71" s="27">
        <v>0.80800000000000005</v>
      </c>
      <c r="Y71" s="27">
        <v>0.84199999999999997</v>
      </c>
      <c r="Z71" s="27">
        <v>0.85</v>
      </c>
      <c r="AA71" s="27">
        <v>0.84499999999999997</v>
      </c>
      <c r="AB71" s="27">
        <v>0.83899999999999997</v>
      </c>
      <c r="AC71" s="27">
        <v>0.84799999999999998</v>
      </c>
      <c r="AD71" s="27">
        <v>0.84099999999999997</v>
      </c>
      <c r="AE71" s="27">
        <v>0.84599999999999997</v>
      </c>
      <c r="AF71" s="27">
        <v>0.83599999999999997</v>
      </c>
      <c r="AG71" s="27">
        <v>0.84799999999999998</v>
      </c>
      <c r="AH71" s="27">
        <v>0.85599999999999998</v>
      </c>
      <c r="AI71" s="27">
        <v>0.84</v>
      </c>
      <c r="AJ71" s="27">
        <v>0.83499999999999996</v>
      </c>
      <c r="AK71" s="27">
        <v>0.82199999999999995</v>
      </c>
      <c r="AL71" s="27">
        <v>0.83899999999999997</v>
      </c>
      <c r="AM71" s="27">
        <v>0.84799999999999998</v>
      </c>
      <c r="AN71" s="27">
        <v>0.82799999999999996</v>
      </c>
      <c r="AO71" s="27">
        <v>0.84199999999999997</v>
      </c>
      <c r="AP71" s="27">
        <v>0.83799999999999997</v>
      </c>
      <c r="AQ71" s="27">
        <v>0.84699999999999998</v>
      </c>
      <c r="AR71" s="27">
        <v>0.83399999999999996</v>
      </c>
      <c r="AS71" s="27">
        <v>0.84599999999999997</v>
      </c>
      <c r="AT71" s="27">
        <v>0.85299999999999998</v>
      </c>
      <c r="AU71" s="27">
        <v>0.83499999999999996</v>
      </c>
      <c r="AV71" s="27">
        <v>0.83099999999999996</v>
      </c>
      <c r="AW71" s="27">
        <v>0.85199999999999998</v>
      </c>
      <c r="AX71" s="27">
        <v>0.84599999999999997</v>
      </c>
      <c r="AY71" s="27">
        <v>0.84799999999999998</v>
      </c>
      <c r="AZ71" s="27">
        <v>0.84399999999999997</v>
      </c>
      <c r="BA71" s="27">
        <v>0.85</v>
      </c>
      <c r="BB71" s="27">
        <v>0.85099999999999998</v>
      </c>
      <c r="BC71" s="27">
        <v>0.84199999999999997</v>
      </c>
      <c r="BD71" s="27">
        <v>0.84599999999999997</v>
      </c>
      <c r="BE71" s="27">
        <v>0.80400000000000005</v>
      </c>
      <c r="BF71" s="27">
        <v>0.84899999999999998</v>
      </c>
      <c r="BG71" s="27">
        <v>0.85199999999999998</v>
      </c>
      <c r="BH71" s="27">
        <v>0.83699999999999997</v>
      </c>
      <c r="BI71" s="27">
        <v>0.83499999999999996</v>
      </c>
      <c r="BJ71" s="27">
        <v>0.85299999999999998</v>
      </c>
      <c r="BK71" s="27">
        <v>0.86099999999999999</v>
      </c>
      <c r="BL71" s="27">
        <v>0.79</v>
      </c>
      <c r="BM71" s="27"/>
      <c r="BN71" s="27"/>
      <c r="BO71" s="27"/>
      <c r="BP71" s="27"/>
    </row>
    <row r="72" spans="1:68" x14ac:dyDescent="0.25">
      <c r="A72" s="22" t="s">
        <v>247</v>
      </c>
      <c r="B72" s="15">
        <v>2</v>
      </c>
      <c r="C72" s="22" t="s">
        <v>247</v>
      </c>
      <c r="D72" s="23">
        <v>39.78</v>
      </c>
      <c r="E72" s="24">
        <v>0</v>
      </c>
      <c r="F72" s="23">
        <v>3.06</v>
      </c>
      <c r="G72" s="23">
        <v>29.53</v>
      </c>
      <c r="H72" s="25">
        <v>182.12</v>
      </c>
      <c r="I72" s="23">
        <v>249.08</v>
      </c>
      <c r="J72" s="26">
        <v>0.84071944444444502</v>
      </c>
      <c r="K72" s="24">
        <v>100902.933155229</v>
      </c>
      <c r="L72" s="24">
        <v>512</v>
      </c>
      <c r="M72" s="23">
        <v>3.5148000000000001</v>
      </c>
      <c r="N72" s="23">
        <v>9.4</v>
      </c>
      <c r="O72" s="23">
        <v>15.98</v>
      </c>
      <c r="P72" s="23">
        <v>51.87</v>
      </c>
      <c r="Q72" s="23">
        <v>62.97</v>
      </c>
      <c r="R72" s="26">
        <v>0.44185277777777798</v>
      </c>
      <c r="S72" s="26">
        <v>1.28257222222222</v>
      </c>
      <c r="T72" s="24">
        <v>153931.429843602</v>
      </c>
      <c r="U72" s="23">
        <v>99.6</v>
      </c>
      <c r="V72" s="24">
        <v>2891</v>
      </c>
      <c r="W72" s="15"/>
      <c r="X72" s="27">
        <v>0.82099999999999995</v>
      </c>
      <c r="Y72" s="27">
        <v>0.82099999999999995</v>
      </c>
      <c r="Z72" s="27">
        <v>0.85499999999999998</v>
      </c>
      <c r="AA72" s="27">
        <v>0.83299999999999996</v>
      </c>
      <c r="AB72" s="27">
        <v>0.82099999999999995</v>
      </c>
      <c r="AC72" s="27">
        <v>0.84</v>
      </c>
      <c r="AD72" s="27">
        <v>0.84</v>
      </c>
      <c r="AE72" s="27">
        <v>0.83699999999999997</v>
      </c>
      <c r="AF72" s="27">
        <v>0.83099999999999996</v>
      </c>
      <c r="AG72" s="27">
        <v>0.84</v>
      </c>
      <c r="AH72" s="27">
        <v>0.85</v>
      </c>
      <c r="AI72" s="27">
        <v>0.83699999999999997</v>
      </c>
      <c r="AJ72" s="27">
        <v>0.81899999999999995</v>
      </c>
      <c r="AK72" s="27">
        <v>0.85299999999999998</v>
      </c>
      <c r="AL72" s="27">
        <v>0.89500000000000002</v>
      </c>
      <c r="AM72" s="27">
        <v>0.83299999999999996</v>
      </c>
      <c r="AN72" s="27">
        <v>0.83099999999999996</v>
      </c>
      <c r="AO72" s="27">
        <v>0.84499999999999997</v>
      </c>
      <c r="AP72" s="27">
        <v>0.84799999999999998</v>
      </c>
      <c r="AQ72" s="27">
        <v>0.84599999999999997</v>
      </c>
      <c r="AR72" s="27">
        <v>0.83699999999999997</v>
      </c>
      <c r="AS72" s="27">
        <v>0.84099999999999997</v>
      </c>
      <c r="AT72" s="27">
        <v>0.83099999999999996</v>
      </c>
      <c r="AU72" s="27">
        <v>0.84399999999999997</v>
      </c>
      <c r="AV72" s="27">
        <v>0.83</v>
      </c>
      <c r="AW72" s="27">
        <v>0.84399999999999997</v>
      </c>
      <c r="AX72" s="27">
        <v>0.86799999999999999</v>
      </c>
      <c r="AY72" s="27">
        <v>0.85599999999999998</v>
      </c>
      <c r="AZ72" s="27">
        <v>0.83</v>
      </c>
      <c r="BA72" s="27">
        <v>0.84</v>
      </c>
      <c r="BB72" s="27">
        <v>0.85399999999999998</v>
      </c>
      <c r="BC72" s="27">
        <v>0.84499999999999997</v>
      </c>
      <c r="BD72" s="27">
        <v>0.83899999999999997</v>
      </c>
      <c r="BE72" s="27">
        <v>0.83499999999999996</v>
      </c>
      <c r="BF72" s="27">
        <v>0.85499999999999998</v>
      </c>
      <c r="BG72" s="27">
        <v>0.84</v>
      </c>
      <c r="BH72" s="27">
        <v>0.82499999999999996</v>
      </c>
      <c r="BI72" s="27">
        <v>0.83199999999999996</v>
      </c>
      <c r="BJ72" s="27">
        <v>0.85099999999999998</v>
      </c>
      <c r="BK72" s="27">
        <v>0.85499999999999998</v>
      </c>
      <c r="BL72" s="27">
        <v>0.76900000000000002</v>
      </c>
      <c r="BM72" s="27"/>
      <c r="BN72" s="27"/>
      <c r="BO72" s="27"/>
      <c r="BP72" s="27"/>
    </row>
    <row r="73" spans="1:68" x14ac:dyDescent="0.25">
      <c r="A73" s="22" t="s">
        <v>247</v>
      </c>
      <c r="B73" s="15">
        <v>3</v>
      </c>
      <c r="C73" s="22" t="s">
        <v>247</v>
      </c>
      <c r="D73" s="23">
        <v>39.78</v>
      </c>
      <c r="E73" s="24">
        <v>0</v>
      </c>
      <c r="F73" s="23">
        <v>3.04</v>
      </c>
      <c r="G73" s="23">
        <v>29.57</v>
      </c>
      <c r="H73" s="25">
        <v>183.18</v>
      </c>
      <c r="I73" s="23">
        <v>248.74</v>
      </c>
      <c r="J73" s="26">
        <v>0.83859166666666696</v>
      </c>
      <c r="K73" s="24">
        <v>100640.83527972399</v>
      </c>
      <c r="L73" s="24">
        <v>512</v>
      </c>
      <c r="M73" s="23">
        <v>3.5078</v>
      </c>
      <c r="N73" s="23">
        <v>9.39</v>
      </c>
      <c r="O73" s="23">
        <v>15.97</v>
      </c>
      <c r="P73" s="23">
        <v>51.74</v>
      </c>
      <c r="Q73" s="23">
        <v>62.88</v>
      </c>
      <c r="R73" s="26">
        <v>0.439855555555556</v>
      </c>
      <c r="S73" s="26">
        <v>1.2784472222222201</v>
      </c>
      <c r="T73" s="24">
        <v>153428.122567012</v>
      </c>
      <c r="U73" s="23">
        <v>99.4</v>
      </c>
      <c r="V73" s="24">
        <v>2888</v>
      </c>
      <c r="W73" s="15"/>
      <c r="X73" s="27">
        <v>0.82899999999999996</v>
      </c>
      <c r="Y73" s="27">
        <v>0.83099999999999996</v>
      </c>
      <c r="Z73" s="27">
        <v>0.84799999999999998</v>
      </c>
      <c r="AA73" s="27">
        <v>0.82099999999999995</v>
      </c>
      <c r="AB73" s="27">
        <v>0.83599999999999997</v>
      </c>
      <c r="AC73" s="27">
        <v>0.84099999999999997</v>
      </c>
      <c r="AD73" s="27">
        <v>0.83499999999999996</v>
      </c>
      <c r="AE73" s="27">
        <v>0.82799999999999996</v>
      </c>
      <c r="AF73" s="27">
        <v>0.83499999999999996</v>
      </c>
      <c r="AG73" s="27">
        <v>0.84799999999999998</v>
      </c>
      <c r="AH73" s="27">
        <v>0.83099999999999996</v>
      </c>
      <c r="AI73" s="27">
        <v>0.86699999999999999</v>
      </c>
      <c r="AJ73" s="27">
        <v>0.83799999999999997</v>
      </c>
      <c r="AK73" s="27">
        <v>0.84199999999999997</v>
      </c>
      <c r="AL73" s="27">
        <v>0.85699999999999998</v>
      </c>
      <c r="AM73" s="27">
        <v>0.85099999999999998</v>
      </c>
      <c r="AN73" s="27">
        <v>0.83599999999999997</v>
      </c>
      <c r="AO73" s="27">
        <v>0.84199999999999997</v>
      </c>
      <c r="AP73" s="27">
        <v>0.82599999999999996</v>
      </c>
      <c r="AQ73" s="27">
        <v>0.85</v>
      </c>
      <c r="AR73" s="27">
        <v>0.82299999999999995</v>
      </c>
      <c r="AS73" s="27">
        <v>0.84599999999999997</v>
      </c>
      <c r="AT73" s="27">
        <v>0.83499999999999996</v>
      </c>
      <c r="AU73" s="27">
        <v>0.84099999999999997</v>
      </c>
      <c r="AV73" s="27">
        <v>0.84799999999999998</v>
      </c>
      <c r="AW73" s="27">
        <v>0.83</v>
      </c>
      <c r="AX73" s="27">
        <v>0.84799999999999998</v>
      </c>
      <c r="AY73" s="27">
        <v>0.84599999999999997</v>
      </c>
      <c r="AZ73" s="27">
        <v>0.83399999999999996</v>
      </c>
      <c r="BA73" s="27">
        <v>0.82899999999999996</v>
      </c>
      <c r="BB73" s="27">
        <v>0.83399999999999996</v>
      </c>
      <c r="BC73" s="27">
        <v>0.84699999999999998</v>
      </c>
      <c r="BD73" s="27">
        <v>0.84599999999999997</v>
      </c>
      <c r="BE73" s="27">
        <v>0.84</v>
      </c>
      <c r="BF73" s="27">
        <v>0.85</v>
      </c>
      <c r="BG73" s="27">
        <v>0.84699999999999998</v>
      </c>
      <c r="BH73" s="27">
        <v>0.84199999999999997</v>
      </c>
      <c r="BI73" s="27">
        <v>0.83199999999999996</v>
      </c>
      <c r="BJ73" s="27">
        <v>0.83199999999999996</v>
      </c>
      <c r="BK73" s="27">
        <v>0.84599999999999997</v>
      </c>
      <c r="BL73" s="27">
        <v>0.76600000000000001</v>
      </c>
      <c r="BM73" s="27"/>
      <c r="BN73" s="27"/>
      <c r="BO73" s="27"/>
      <c r="BP73" s="27"/>
    </row>
    <row r="74" spans="1:68" x14ac:dyDescent="0.25">
      <c r="A74" s="16" t="s">
        <v>248</v>
      </c>
      <c r="B74" s="12">
        <v>1</v>
      </c>
      <c r="C74" s="16" t="s">
        <v>248</v>
      </c>
      <c r="D74" s="17">
        <v>39.79</v>
      </c>
      <c r="E74" s="18">
        <v>0</v>
      </c>
      <c r="F74" s="17">
        <v>1.98</v>
      </c>
      <c r="G74" s="17">
        <v>27.67</v>
      </c>
      <c r="H74" s="19">
        <v>180.51</v>
      </c>
      <c r="I74" s="17">
        <v>248.47</v>
      </c>
      <c r="J74" s="20">
        <v>0.81647499999999995</v>
      </c>
      <c r="K74" s="18">
        <v>97982.295719844406</v>
      </c>
      <c r="L74" s="18">
        <v>512</v>
      </c>
      <c r="M74" s="17">
        <v>3.0004</v>
      </c>
      <c r="N74" s="17">
        <v>9.7200000000000006</v>
      </c>
      <c r="O74" s="17">
        <v>15.7</v>
      </c>
      <c r="P74" s="17">
        <v>48.88</v>
      </c>
      <c r="Q74" s="17">
        <v>62.61</v>
      </c>
      <c r="R74" s="20">
        <v>0.47628888888888898</v>
      </c>
      <c r="S74" s="20">
        <v>1.2927638888888899</v>
      </c>
      <c r="T74" s="18">
        <v>155140.05002779301</v>
      </c>
      <c r="U74" s="17">
        <v>99.6</v>
      </c>
      <c r="V74" s="18">
        <v>2892</v>
      </c>
      <c r="W74" s="12"/>
      <c r="X74" s="21">
        <v>0.76800000000000002</v>
      </c>
      <c r="Y74" s="21">
        <v>0.80600000000000005</v>
      </c>
      <c r="Z74" s="21">
        <v>0.8</v>
      </c>
      <c r="AA74" s="21">
        <v>0.79600000000000004</v>
      </c>
      <c r="AB74" s="21">
        <v>0.79500000000000004</v>
      </c>
      <c r="AC74" s="21">
        <v>0.80200000000000005</v>
      </c>
      <c r="AD74" s="21">
        <v>0.81100000000000005</v>
      </c>
      <c r="AE74" s="21">
        <v>0.80300000000000005</v>
      </c>
      <c r="AF74" s="21">
        <v>0.79600000000000004</v>
      </c>
      <c r="AG74" s="21">
        <v>0.79200000000000004</v>
      </c>
      <c r="AH74" s="21">
        <v>0.79400000000000004</v>
      </c>
      <c r="AI74" s="21">
        <v>0.79500000000000004</v>
      </c>
      <c r="AJ74" s="21">
        <v>0.78800000000000003</v>
      </c>
      <c r="AK74" s="21">
        <v>0.80400000000000005</v>
      </c>
      <c r="AL74" s="21">
        <v>0.80500000000000005</v>
      </c>
      <c r="AM74" s="21">
        <v>0.80800000000000005</v>
      </c>
      <c r="AN74" s="21">
        <v>0.79700000000000004</v>
      </c>
      <c r="AO74" s="21">
        <v>0.80900000000000005</v>
      </c>
      <c r="AP74" s="21">
        <v>0.80400000000000005</v>
      </c>
      <c r="AQ74" s="21">
        <v>0.80800000000000005</v>
      </c>
      <c r="AR74" s="21">
        <v>0.79300000000000004</v>
      </c>
      <c r="AS74" s="21">
        <v>0.81399999999999995</v>
      </c>
      <c r="AT74" s="21">
        <v>0.79700000000000004</v>
      </c>
      <c r="AU74" s="21">
        <v>0.80200000000000005</v>
      </c>
      <c r="AV74" s="21">
        <v>0.79200000000000004</v>
      </c>
      <c r="AW74" s="21">
        <v>0.81299999999999994</v>
      </c>
      <c r="AX74" s="21">
        <v>0.80400000000000005</v>
      </c>
      <c r="AY74" s="21">
        <v>0.80700000000000005</v>
      </c>
      <c r="AZ74" s="21">
        <v>0.79500000000000004</v>
      </c>
      <c r="BA74" s="21">
        <v>0.86899999999999999</v>
      </c>
      <c r="BB74" s="21">
        <v>0.9</v>
      </c>
      <c r="BC74" s="21">
        <v>0.90100000000000002</v>
      </c>
      <c r="BD74" s="21">
        <v>0.88500000000000001</v>
      </c>
      <c r="BE74" s="21">
        <v>0.873</v>
      </c>
      <c r="BF74" s="21">
        <v>0.81299999999999994</v>
      </c>
      <c r="BG74" s="21">
        <v>0.81899999999999995</v>
      </c>
      <c r="BH74" s="21">
        <v>0.93300000000000005</v>
      </c>
      <c r="BI74" s="21">
        <v>0.80200000000000005</v>
      </c>
      <c r="BJ74" s="21">
        <v>0.81</v>
      </c>
      <c r="BK74" s="21">
        <v>0.80700000000000005</v>
      </c>
      <c r="BL74" s="21">
        <v>0.748</v>
      </c>
      <c r="BM74" s="21"/>
      <c r="BN74" s="21"/>
      <c r="BO74" s="21"/>
      <c r="BP74" s="21"/>
    </row>
    <row r="75" spans="1:68" x14ac:dyDescent="0.25">
      <c r="A75" s="16" t="s">
        <v>248</v>
      </c>
      <c r="B75" s="12">
        <v>2</v>
      </c>
      <c r="C75" s="16" t="s">
        <v>248</v>
      </c>
      <c r="D75" s="17">
        <v>39.799999999999997</v>
      </c>
      <c r="E75" s="18">
        <v>0</v>
      </c>
      <c r="F75" s="17">
        <v>2.56</v>
      </c>
      <c r="G75" s="17">
        <v>28.31</v>
      </c>
      <c r="H75" s="19">
        <v>184.32</v>
      </c>
      <c r="I75" s="17">
        <v>248.87</v>
      </c>
      <c r="J75" s="20">
        <v>0.80199166666666699</v>
      </c>
      <c r="K75" s="18">
        <v>96243.459645806099</v>
      </c>
      <c r="L75" s="18">
        <v>512</v>
      </c>
      <c r="M75" s="17">
        <v>3.1873</v>
      </c>
      <c r="N75" s="17">
        <v>10.34</v>
      </c>
      <c r="O75" s="17">
        <v>15.82</v>
      </c>
      <c r="P75" s="17">
        <v>50.06</v>
      </c>
      <c r="Q75" s="17">
        <v>62.69</v>
      </c>
      <c r="R75" s="20">
        <v>0.46325</v>
      </c>
      <c r="S75" s="20">
        <v>1.2652416666666699</v>
      </c>
      <c r="T75" s="18">
        <v>151837.054129945</v>
      </c>
      <c r="U75" s="17">
        <v>99.5</v>
      </c>
      <c r="V75" s="18">
        <v>2890</v>
      </c>
      <c r="W75" s="12"/>
      <c r="X75" s="21">
        <v>0.78400000000000003</v>
      </c>
      <c r="Y75" s="21">
        <v>0.80900000000000005</v>
      </c>
      <c r="Z75" s="21">
        <v>0.80700000000000005</v>
      </c>
      <c r="AA75" s="21">
        <v>0.78300000000000003</v>
      </c>
      <c r="AB75" s="21">
        <v>0.79800000000000004</v>
      </c>
      <c r="AC75" s="21">
        <v>0.79700000000000004</v>
      </c>
      <c r="AD75" s="21">
        <v>0.81200000000000006</v>
      </c>
      <c r="AE75" s="21">
        <v>0.79200000000000004</v>
      </c>
      <c r="AF75" s="21">
        <v>0.80300000000000005</v>
      </c>
      <c r="AG75" s="21">
        <v>0.81100000000000005</v>
      </c>
      <c r="AH75" s="21">
        <v>0.80400000000000005</v>
      </c>
      <c r="AI75" s="21">
        <v>0.80900000000000005</v>
      </c>
      <c r="AJ75" s="21">
        <v>0.80300000000000005</v>
      </c>
      <c r="AK75" s="21">
        <v>0.80800000000000005</v>
      </c>
      <c r="AL75" s="21">
        <v>0.81</v>
      </c>
      <c r="AM75" s="21">
        <v>0.79800000000000004</v>
      </c>
      <c r="AN75" s="21">
        <v>0.79200000000000004</v>
      </c>
      <c r="AO75" s="21">
        <v>0.80700000000000005</v>
      </c>
      <c r="AP75" s="21">
        <v>0.80200000000000005</v>
      </c>
      <c r="AQ75" s="21">
        <v>0.80600000000000005</v>
      </c>
      <c r="AR75" s="21">
        <v>0.79300000000000004</v>
      </c>
      <c r="AS75" s="21">
        <v>0.80500000000000005</v>
      </c>
      <c r="AT75" s="21">
        <v>0.80400000000000005</v>
      </c>
      <c r="AU75" s="21">
        <v>0.80600000000000005</v>
      </c>
      <c r="AV75" s="21">
        <v>0.79600000000000004</v>
      </c>
      <c r="AW75" s="21">
        <v>0.80100000000000005</v>
      </c>
      <c r="AX75" s="21">
        <v>0.80700000000000005</v>
      </c>
      <c r="AY75" s="21">
        <v>0.80500000000000005</v>
      </c>
      <c r="AZ75" s="21">
        <v>0.79800000000000004</v>
      </c>
      <c r="BA75" s="21">
        <v>0.78700000000000003</v>
      </c>
      <c r="BB75" s="21">
        <v>0.79200000000000004</v>
      </c>
      <c r="BC75" s="21">
        <v>0.80700000000000005</v>
      </c>
      <c r="BD75" s="21">
        <v>0.80100000000000005</v>
      </c>
      <c r="BE75" s="21">
        <v>0.79300000000000004</v>
      </c>
      <c r="BF75" s="21">
        <v>0.80100000000000005</v>
      </c>
      <c r="BG75" s="21">
        <v>0.79</v>
      </c>
      <c r="BH75" s="21">
        <v>0.79500000000000004</v>
      </c>
      <c r="BI75" s="21">
        <v>0.79900000000000004</v>
      </c>
      <c r="BJ75" s="21">
        <v>0.78500000000000003</v>
      </c>
      <c r="BK75" s="21">
        <v>0.88800000000000001</v>
      </c>
      <c r="BL75" s="21">
        <v>0.76300000000000001</v>
      </c>
      <c r="BM75" s="21"/>
      <c r="BN75" s="21"/>
      <c r="BO75" s="21"/>
      <c r="BP75" s="21"/>
    </row>
    <row r="76" spans="1:68" x14ac:dyDescent="0.25">
      <c r="A76" s="16" t="s">
        <v>248</v>
      </c>
      <c r="B76" s="12">
        <v>3</v>
      </c>
      <c r="C76" s="16" t="s">
        <v>248</v>
      </c>
      <c r="D76" s="17">
        <v>39.78</v>
      </c>
      <c r="E76" s="18">
        <v>0</v>
      </c>
      <c r="F76" s="17">
        <v>2.48</v>
      </c>
      <c r="G76" s="17">
        <v>28.12</v>
      </c>
      <c r="H76" s="19">
        <v>184.83</v>
      </c>
      <c r="I76" s="17">
        <v>248.9</v>
      </c>
      <c r="J76" s="20">
        <v>0.79919444444444399</v>
      </c>
      <c r="K76" s="18">
        <v>95905.873514927196</v>
      </c>
      <c r="L76" s="18">
        <v>512</v>
      </c>
      <c r="M76" s="17">
        <v>3.1911</v>
      </c>
      <c r="N76" s="17">
        <v>10.35</v>
      </c>
      <c r="O76" s="17">
        <v>15.81</v>
      </c>
      <c r="P76" s="17">
        <v>49.79</v>
      </c>
      <c r="Q76" s="17">
        <v>62.69</v>
      </c>
      <c r="R76" s="20">
        <v>0.46343611111111099</v>
      </c>
      <c r="S76" s="20">
        <v>1.2626305555555599</v>
      </c>
      <c r="T76" s="18">
        <v>151522.74561086201</v>
      </c>
      <c r="U76" s="17">
        <v>99.5</v>
      </c>
      <c r="V76" s="18">
        <v>2890</v>
      </c>
      <c r="W76" s="12"/>
      <c r="X76" s="21">
        <v>0.77</v>
      </c>
      <c r="Y76" s="21">
        <v>0.80400000000000005</v>
      </c>
      <c r="Z76" s="21">
        <v>0.80400000000000005</v>
      </c>
      <c r="AA76" s="21">
        <v>0.80700000000000005</v>
      </c>
      <c r="AB76" s="21">
        <v>0.79700000000000004</v>
      </c>
      <c r="AC76" s="21">
        <v>0.80200000000000005</v>
      </c>
      <c r="AD76" s="21">
        <v>0.80400000000000005</v>
      </c>
      <c r="AE76" s="21">
        <v>0.77700000000000002</v>
      </c>
      <c r="AF76" s="21">
        <v>0.79400000000000004</v>
      </c>
      <c r="AG76" s="21">
        <v>0.80800000000000005</v>
      </c>
      <c r="AH76" s="21">
        <v>0.80800000000000005</v>
      </c>
      <c r="AI76" s="21">
        <v>0.80100000000000005</v>
      </c>
      <c r="AJ76" s="21">
        <v>0.80100000000000005</v>
      </c>
      <c r="AK76" s="21">
        <v>0.80600000000000005</v>
      </c>
      <c r="AL76" s="21">
        <v>0.80200000000000005</v>
      </c>
      <c r="AM76" s="21">
        <v>0.79200000000000004</v>
      </c>
      <c r="AN76" s="21">
        <v>0.78800000000000003</v>
      </c>
      <c r="AO76" s="21">
        <v>0.79500000000000004</v>
      </c>
      <c r="AP76" s="21">
        <v>0.78900000000000003</v>
      </c>
      <c r="AQ76" s="21">
        <v>0.80100000000000005</v>
      </c>
      <c r="AR76" s="21">
        <v>0.79200000000000004</v>
      </c>
      <c r="AS76" s="21">
        <v>0.80400000000000005</v>
      </c>
      <c r="AT76" s="21">
        <v>0.80800000000000005</v>
      </c>
      <c r="AU76" s="21">
        <v>0.80700000000000005</v>
      </c>
      <c r="AV76" s="21">
        <v>0.79400000000000004</v>
      </c>
      <c r="AW76" s="21">
        <v>0.8</v>
      </c>
      <c r="AX76" s="21">
        <v>0.81100000000000005</v>
      </c>
      <c r="AY76" s="21">
        <v>0.80500000000000005</v>
      </c>
      <c r="AZ76" s="21">
        <v>0.79200000000000004</v>
      </c>
      <c r="BA76" s="21">
        <v>0.78900000000000003</v>
      </c>
      <c r="BB76" s="21">
        <v>0.80200000000000005</v>
      </c>
      <c r="BC76" s="21">
        <v>0.81</v>
      </c>
      <c r="BD76" s="21">
        <v>0.80100000000000005</v>
      </c>
      <c r="BE76" s="21">
        <v>0.80400000000000005</v>
      </c>
      <c r="BF76" s="21">
        <v>0.80800000000000005</v>
      </c>
      <c r="BG76" s="21">
        <v>0.80900000000000005</v>
      </c>
      <c r="BH76" s="21">
        <v>0.79100000000000004</v>
      </c>
      <c r="BI76" s="21">
        <v>0.79</v>
      </c>
      <c r="BJ76" s="21">
        <v>0.79100000000000004</v>
      </c>
      <c r="BK76" s="21">
        <v>0.80700000000000005</v>
      </c>
      <c r="BL76" s="21">
        <v>0.78500000000000003</v>
      </c>
      <c r="BM76" s="21"/>
      <c r="BN76" s="21"/>
      <c r="BO76" s="21"/>
      <c r="BP76" s="21"/>
    </row>
    <row r="77" spans="1:68" x14ac:dyDescent="0.25">
      <c r="A77" s="22" t="s">
        <v>249</v>
      </c>
      <c r="B77" s="15">
        <v>1</v>
      </c>
      <c r="C77" s="22" t="s">
        <v>249</v>
      </c>
      <c r="D77" s="23">
        <v>39.78</v>
      </c>
      <c r="E77" s="24">
        <v>0</v>
      </c>
      <c r="F77" s="23">
        <v>2.77</v>
      </c>
      <c r="G77" s="23">
        <v>29.99</v>
      </c>
      <c r="H77" s="25">
        <v>183.47</v>
      </c>
      <c r="I77" s="23">
        <v>248.79</v>
      </c>
      <c r="J77" s="26">
        <v>0.84188333333333298</v>
      </c>
      <c r="K77" s="24">
        <v>101059.307154204</v>
      </c>
      <c r="L77" s="24">
        <v>512</v>
      </c>
      <c r="M77" s="23">
        <v>3.7528000000000001</v>
      </c>
      <c r="N77" s="23">
        <v>9.34</v>
      </c>
      <c r="O77" s="23">
        <v>15.98</v>
      </c>
      <c r="P77" s="23">
        <v>52.49</v>
      </c>
      <c r="Q77" s="23">
        <v>62.96</v>
      </c>
      <c r="R77" s="26">
        <v>0.44619166666666699</v>
      </c>
      <c r="S77" s="26">
        <v>1.2880750000000001</v>
      </c>
      <c r="T77" s="24">
        <v>154619.04629190901</v>
      </c>
      <c r="U77" s="23">
        <v>99.7</v>
      </c>
      <c r="V77" s="24">
        <v>2894</v>
      </c>
      <c r="W77" s="15"/>
      <c r="X77" s="27">
        <v>0.81499999999999995</v>
      </c>
      <c r="Y77" s="27">
        <v>0.85899999999999999</v>
      </c>
      <c r="Z77" s="27">
        <v>0.83499999999999996</v>
      </c>
      <c r="AA77" s="27">
        <v>0.84499999999999997</v>
      </c>
      <c r="AB77" s="27">
        <v>0.84699999999999998</v>
      </c>
      <c r="AC77" s="27">
        <v>0.85199999999999998</v>
      </c>
      <c r="AD77" s="27">
        <v>0.85399999999999998</v>
      </c>
      <c r="AE77" s="27">
        <v>0.84899999999999998</v>
      </c>
      <c r="AF77" s="27">
        <v>0.85499999999999998</v>
      </c>
      <c r="AG77" s="27">
        <v>0.85299999999999998</v>
      </c>
      <c r="AH77" s="27">
        <v>0.84199999999999997</v>
      </c>
      <c r="AI77" s="27">
        <v>0.84099999999999997</v>
      </c>
      <c r="AJ77" s="27">
        <v>0.84399999999999997</v>
      </c>
      <c r="AK77" s="27">
        <v>0.85299999999999998</v>
      </c>
      <c r="AL77" s="27">
        <v>0.85799999999999998</v>
      </c>
      <c r="AM77" s="27">
        <v>0.84199999999999997</v>
      </c>
      <c r="AN77" s="27">
        <v>0.83699999999999997</v>
      </c>
      <c r="AO77" s="27">
        <v>0.85099999999999998</v>
      </c>
      <c r="AP77" s="27">
        <v>0.84199999999999997</v>
      </c>
      <c r="AQ77" s="27">
        <v>0.84299999999999997</v>
      </c>
      <c r="AR77" s="27">
        <v>0.82299999999999995</v>
      </c>
      <c r="AS77" s="27">
        <v>0.84399999999999997</v>
      </c>
      <c r="AT77" s="27">
        <v>0.83099999999999996</v>
      </c>
      <c r="AU77" s="27">
        <v>0.86599999999999999</v>
      </c>
      <c r="AV77" s="27">
        <v>0.85099999999999998</v>
      </c>
      <c r="AW77" s="27">
        <v>0.85199999999999998</v>
      </c>
      <c r="AX77" s="27">
        <v>0.85</v>
      </c>
      <c r="AY77" s="27">
        <v>0.84599999999999997</v>
      </c>
      <c r="AZ77" s="27">
        <v>0.86</v>
      </c>
      <c r="BA77" s="27">
        <v>0.83799999999999997</v>
      </c>
      <c r="BB77" s="27">
        <v>0.84899999999999998</v>
      </c>
      <c r="BC77" s="27">
        <v>0.85199999999999998</v>
      </c>
      <c r="BD77" s="27">
        <v>0.81</v>
      </c>
      <c r="BE77" s="27">
        <v>0.82899999999999996</v>
      </c>
      <c r="BF77" s="27">
        <v>0.84499999999999997</v>
      </c>
      <c r="BG77" s="27">
        <v>0.84199999999999997</v>
      </c>
      <c r="BH77" s="27">
        <v>0.83299999999999996</v>
      </c>
      <c r="BI77" s="27">
        <v>0.81899999999999995</v>
      </c>
      <c r="BJ77" s="27">
        <v>0.86199999999999999</v>
      </c>
      <c r="BK77" s="27">
        <v>0.83399999999999996</v>
      </c>
      <c r="BL77" s="27">
        <v>0.75900000000000001</v>
      </c>
      <c r="BM77" s="27"/>
      <c r="BN77" s="27"/>
      <c r="BO77" s="27"/>
      <c r="BP77" s="27"/>
    </row>
    <row r="78" spans="1:68" x14ac:dyDescent="0.25">
      <c r="A78" s="22" t="s">
        <v>249</v>
      </c>
      <c r="B78" s="15">
        <v>2</v>
      </c>
      <c r="C78" s="22" t="s">
        <v>249</v>
      </c>
      <c r="D78" s="23">
        <v>39.78</v>
      </c>
      <c r="E78" s="24">
        <v>0</v>
      </c>
      <c r="F78" s="23">
        <v>3.02</v>
      </c>
      <c r="G78" s="23">
        <v>30.08</v>
      </c>
      <c r="H78" s="25">
        <v>182.98</v>
      </c>
      <c r="I78" s="23">
        <v>248.72</v>
      </c>
      <c r="J78" s="26">
        <v>0.83196944444444398</v>
      </c>
      <c r="K78" s="24">
        <v>99868.545778967295</v>
      </c>
      <c r="L78" s="24">
        <v>512</v>
      </c>
      <c r="M78" s="23">
        <v>3.7160000000000002</v>
      </c>
      <c r="N78" s="23">
        <v>9.1999999999999993</v>
      </c>
      <c r="O78" s="23">
        <v>16.28</v>
      </c>
      <c r="P78" s="23">
        <v>52.96</v>
      </c>
      <c r="Q78" s="23">
        <v>63.06</v>
      </c>
      <c r="R78" s="26">
        <v>0.43740000000000001</v>
      </c>
      <c r="S78" s="26">
        <v>1.2693694444444401</v>
      </c>
      <c r="T78" s="24">
        <v>152370.60889929699</v>
      </c>
      <c r="U78" s="23">
        <v>99.4</v>
      </c>
      <c r="V78" s="24">
        <v>2887</v>
      </c>
      <c r="W78" s="15"/>
      <c r="X78" s="27">
        <v>0.81499999999999995</v>
      </c>
      <c r="Y78" s="27">
        <v>0.84199999999999997</v>
      </c>
      <c r="Z78" s="27">
        <v>0.85099999999999998</v>
      </c>
      <c r="AA78" s="27">
        <v>0.82799999999999996</v>
      </c>
      <c r="AB78" s="27">
        <v>0.81200000000000006</v>
      </c>
      <c r="AC78" s="27">
        <v>0.83699999999999997</v>
      </c>
      <c r="AD78" s="27">
        <v>0.82499999999999996</v>
      </c>
      <c r="AE78" s="27">
        <v>0.84</v>
      </c>
      <c r="AF78" s="27">
        <v>0.82699999999999996</v>
      </c>
      <c r="AG78" s="27">
        <v>0.83399999999999996</v>
      </c>
      <c r="AH78" s="27">
        <v>0.83799999999999997</v>
      </c>
      <c r="AI78" s="27">
        <v>0.83899999999999997</v>
      </c>
      <c r="AJ78" s="27">
        <v>0.82299999999999995</v>
      </c>
      <c r="AK78" s="27">
        <v>0.83299999999999996</v>
      </c>
      <c r="AL78" s="27">
        <v>0.79500000000000004</v>
      </c>
      <c r="AM78" s="27">
        <v>0.83799999999999997</v>
      </c>
      <c r="AN78" s="27">
        <v>0.83099999999999996</v>
      </c>
      <c r="AO78" s="27">
        <v>0.82899999999999996</v>
      </c>
      <c r="AP78" s="27">
        <v>0.85</v>
      </c>
      <c r="AQ78" s="27">
        <v>0.83499999999999996</v>
      </c>
      <c r="AR78" s="27">
        <v>0.83199999999999996</v>
      </c>
      <c r="AS78" s="27">
        <v>0.82499999999999996</v>
      </c>
      <c r="AT78" s="27">
        <v>0.82899999999999996</v>
      </c>
      <c r="AU78" s="27">
        <v>0.83699999999999997</v>
      </c>
      <c r="AV78" s="27">
        <v>0.83599999999999997</v>
      </c>
      <c r="AW78" s="27">
        <v>0.82099999999999995</v>
      </c>
      <c r="AX78" s="27">
        <v>0.84899999999999998</v>
      </c>
      <c r="AY78" s="27">
        <v>0.82499999999999996</v>
      </c>
      <c r="AZ78" s="27">
        <v>0.83299999999999996</v>
      </c>
      <c r="BA78" s="27">
        <v>0.84099999999999997</v>
      </c>
      <c r="BB78" s="27">
        <v>0.83699999999999997</v>
      </c>
      <c r="BC78" s="27">
        <v>0.84</v>
      </c>
      <c r="BD78" s="27">
        <v>0.83699999999999997</v>
      </c>
      <c r="BE78" s="27">
        <v>0.83399999999999996</v>
      </c>
      <c r="BF78" s="27">
        <v>0.83199999999999996</v>
      </c>
      <c r="BG78" s="27">
        <v>0.83899999999999997</v>
      </c>
      <c r="BH78" s="27">
        <v>0.83299999999999996</v>
      </c>
      <c r="BI78" s="27">
        <v>0.85399999999999998</v>
      </c>
      <c r="BJ78" s="27">
        <v>0.83699999999999997</v>
      </c>
      <c r="BK78" s="27">
        <v>0.84799999999999998</v>
      </c>
      <c r="BL78" s="27">
        <v>0.76</v>
      </c>
      <c r="BM78" s="27"/>
      <c r="BN78" s="27"/>
      <c r="BO78" s="27"/>
      <c r="BP78" s="27"/>
    </row>
    <row r="79" spans="1:68" x14ac:dyDescent="0.25">
      <c r="A79" s="22" t="s">
        <v>249</v>
      </c>
      <c r="B79" s="15">
        <v>3</v>
      </c>
      <c r="C79" s="22" t="s">
        <v>249</v>
      </c>
      <c r="D79" s="23">
        <v>39.79</v>
      </c>
      <c r="E79" s="24">
        <v>0</v>
      </c>
      <c r="F79" s="23">
        <v>3.01</v>
      </c>
      <c r="G79" s="23">
        <v>29.89</v>
      </c>
      <c r="H79" s="25">
        <v>183.35</v>
      </c>
      <c r="I79" s="23">
        <v>248.76</v>
      </c>
      <c r="J79" s="26">
        <v>0.83549166666666697</v>
      </c>
      <c r="K79" s="24">
        <v>100286.37947860001</v>
      </c>
      <c r="L79" s="24">
        <v>512</v>
      </c>
      <c r="M79" s="23">
        <v>3.6314000000000002</v>
      </c>
      <c r="N79" s="23">
        <v>9.23</v>
      </c>
      <c r="O79" s="23">
        <v>16.23</v>
      </c>
      <c r="P79" s="23">
        <v>52.92</v>
      </c>
      <c r="Q79" s="23">
        <v>63</v>
      </c>
      <c r="R79" s="26">
        <v>0.439016666666667</v>
      </c>
      <c r="S79" s="26">
        <v>1.27450833333333</v>
      </c>
      <c r="T79" s="24">
        <v>152979.98048236399</v>
      </c>
      <c r="U79" s="23">
        <v>99.5</v>
      </c>
      <c r="V79" s="24">
        <v>2889</v>
      </c>
      <c r="W79" s="15"/>
      <c r="X79" s="27">
        <v>0.79800000000000004</v>
      </c>
      <c r="Y79" s="27">
        <v>0.84799999999999998</v>
      </c>
      <c r="Z79" s="27">
        <v>0.85199999999999998</v>
      </c>
      <c r="AA79" s="27">
        <v>0.82299999999999995</v>
      </c>
      <c r="AB79" s="27">
        <v>0.83099999999999996</v>
      </c>
      <c r="AC79" s="27">
        <v>0.84399999999999997</v>
      </c>
      <c r="AD79" s="27">
        <v>0.85199999999999998</v>
      </c>
      <c r="AE79" s="27">
        <v>0.82099999999999995</v>
      </c>
      <c r="AF79" s="27">
        <v>0.81699999999999995</v>
      </c>
      <c r="AG79" s="27">
        <v>0.85499999999999998</v>
      </c>
      <c r="AH79" s="27">
        <v>0.82899999999999996</v>
      </c>
      <c r="AI79" s="27">
        <v>0.83499999999999996</v>
      </c>
      <c r="AJ79" s="27">
        <v>0.83799999999999997</v>
      </c>
      <c r="AK79" s="27">
        <v>0.84499999999999997</v>
      </c>
      <c r="AL79" s="27">
        <v>0.84799999999999998</v>
      </c>
      <c r="AM79" s="27">
        <v>0.84099999999999997</v>
      </c>
      <c r="AN79" s="27">
        <v>0.82899999999999996</v>
      </c>
      <c r="AO79" s="27">
        <v>0.83499999999999996</v>
      </c>
      <c r="AP79" s="27">
        <v>0.85499999999999998</v>
      </c>
      <c r="AQ79" s="27">
        <v>0.84399999999999997</v>
      </c>
      <c r="AR79" s="27">
        <v>0.82299999999999995</v>
      </c>
      <c r="AS79" s="27">
        <v>0.83899999999999997</v>
      </c>
      <c r="AT79" s="27">
        <v>0.83599999999999997</v>
      </c>
      <c r="AU79" s="27">
        <v>0.84799999999999998</v>
      </c>
      <c r="AV79" s="27">
        <v>0.82599999999999996</v>
      </c>
      <c r="AW79" s="27">
        <v>0.81899999999999995</v>
      </c>
      <c r="AX79" s="27">
        <v>0.84099999999999997</v>
      </c>
      <c r="AY79" s="27">
        <v>0.83699999999999997</v>
      </c>
      <c r="AZ79" s="27">
        <v>0.84399999999999997</v>
      </c>
      <c r="BA79" s="27">
        <v>0.81699999999999995</v>
      </c>
      <c r="BB79" s="27">
        <v>0.85</v>
      </c>
      <c r="BC79" s="27">
        <v>0.84599999999999997</v>
      </c>
      <c r="BD79" s="27">
        <v>0.83099999999999996</v>
      </c>
      <c r="BE79" s="27">
        <v>0.85099999999999998</v>
      </c>
      <c r="BF79" s="27">
        <v>0.83599999999999997</v>
      </c>
      <c r="BG79" s="27">
        <v>0.84899999999999998</v>
      </c>
      <c r="BH79" s="27">
        <v>0.84499999999999997</v>
      </c>
      <c r="BI79" s="27">
        <v>0.80600000000000005</v>
      </c>
      <c r="BJ79" s="27">
        <v>0.83699999999999997</v>
      </c>
      <c r="BK79" s="27">
        <v>0.83699999999999997</v>
      </c>
      <c r="BL79" s="27">
        <v>0.77400000000000002</v>
      </c>
      <c r="BM79" s="27"/>
      <c r="BN79" s="27"/>
      <c r="BO79" s="27"/>
      <c r="BP79" s="27"/>
    </row>
    <row r="80" spans="1:68" x14ac:dyDescent="0.25">
      <c r="A80" s="16" t="s">
        <v>250</v>
      </c>
      <c r="B80" s="12">
        <v>1</v>
      </c>
      <c r="C80" s="16" t="s">
        <v>250</v>
      </c>
      <c r="D80" s="17">
        <v>39.82</v>
      </c>
      <c r="E80" s="18">
        <v>0</v>
      </c>
      <c r="F80" s="17">
        <v>2.81</v>
      </c>
      <c r="G80" s="17">
        <v>28.38</v>
      </c>
      <c r="H80" s="19">
        <v>183.86</v>
      </c>
      <c r="I80" s="17">
        <v>248.81</v>
      </c>
      <c r="J80" s="20">
        <v>0.78275405405405396</v>
      </c>
      <c r="K80" s="18">
        <v>94884.296166866901</v>
      </c>
      <c r="L80" s="18">
        <v>512</v>
      </c>
      <c r="M80" s="17">
        <v>3.1907999999999999</v>
      </c>
      <c r="N80" s="17">
        <v>10.3</v>
      </c>
      <c r="O80" s="17">
        <v>15.84</v>
      </c>
      <c r="P80" s="17">
        <v>50.25</v>
      </c>
      <c r="Q80" s="17">
        <v>62.69</v>
      </c>
      <c r="R80" s="20">
        <v>0.447924324324324</v>
      </c>
      <c r="S80" s="20">
        <v>1.2306783783783799</v>
      </c>
      <c r="T80" s="18">
        <v>149181.09096865801</v>
      </c>
      <c r="U80" s="17">
        <v>99.5</v>
      </c>
      <c r="V80" s="18">
        <v>2890</v>
      </c>
      <c r="W80" s="12"/>
      <c r="X80" s="21">
        <v>0.80800000000000005</v>
      </c>
      <c r="Y80" s="21">
        <v>0.78900000000000003</v>
      </c>
      <c r="Z80" s="21">
        <v>0.81</v>
      </c>
      <c r="AA80" s="21">
        <v>0.80300000000000005</v>
      </c>
      <c r="AB80" s="21">
        <v>0.80800000000000005</v>
      </c>
      <c r="AC80" s="21">
        <v>0.81399999999999995</v>
      </c>
      <c r="AD80" s="21">
        <v>0.79500000000000004</v>
      </c>
      <c r="AE80" s="21">
        <v>0.81599999999999995</v>
      </c>
      <c r="AF80" s="21">
        <v>0.81100000000000005</v>
      </c>
      <c r="AG80" s="21">
        <v>0.80800000000000005</v>
      </c>
      <c r="AH80" s="21">
        <v>0.82399999999999995</v>
      </c>
      <c r="AI80" s="21">
        <v>0.81599999999999995</v>
      </c>
      <c r="AJ80" s="21">
        <v>0.80600000000000005</v>
      </c>
      <c r="AK80" s="21">
        <v>0.81</v>
      </c>
      <c r="AL80" s="21">
        <v>0.81399999999999995</v>
      </c>
      <c r="AM80" s="21">
        <v>0.80300000000000005</v>
      </c>
      <c r="AN80" s="21">
        <v>0.78800000000000003</v>
      </c>
      <c r="AO80" s="21">
        <v>0.80400000000000005</v>
      </c>
      <c r="AP80" s="21">
        <v>0.80300000000000005</v>
      </c>
      <c r="AQ80" s="21">
        <v>0.79700000000000004</v>
      </c>
      <c r="AR80" s="21">
        <v>0.79600000000000004</v>
      </c>
      <c r="AS80" s="21">
        <v>0.80500000000000005</v>
      </c>
      <c r="AT80" s="21">
        <v>0.81</v>
      </c>
      <c r="AU80" s="21">
        <v>0.79900000000000004</v>
      </c>
      <c r="AV80" s="21">
        <v>0.78600000000000003</v>
      </c>
      <c r="AW80" s="21">
        <v>0.79700000000000004</v>
      </c>
      <c r="AX80" s="21">
        <v>0.78900000000000003</v>
      </c>
      <c r="AY80" s="21">
        <v>0.80300000000000005</v>
      </c>
      <c r="AZ80" s="21">
        <v>0.77800000000000002</v>
      </c>
      <c r="BA80" s="21">
        <v>0.80600000000000005</v>
      </c>
      <c r="BB80" s="21">
        <v>0.80200000000000005</v>
      </c>
      <c r="BC80" s="21">
        <v>0.80900000000000005</v>
      </c>
      <c r="BD80" s="21">
        <v>0.8</v>
      </c>
      <c r="BE80" s="21">
        <v>0.78800000000000003</v>
      </c>
      <c r="BF80" s="21">
        <v>0.79700000000000004</v>
      </c>
      <c r="BG80" s="21">
        <v>0.81200000000000006</v>
      </c>
      <c r="BH80" s="21">
        <v>0.79200000000000004</v>
      </c>
      <c r="BI80" s="21">
        <v>0.91400000000000003</v>
      </c>
      <c r="BJ80" s="21">
        <v>0.82599999999999996</v>
      </c>
      <c r="BK80" s="21">
        <v>0.81100000000000005</v>
      </c>
      <c r="BL80" s="21">
        <v>0.73199999999999998</v>
      </c>
      <c r="BM80" s="21">
        <v>0</v>
      </c>
      <c r="BN80" s="21"/>
      <c r="BO80" s="21"/>
      <c r="BP80" s="21"/>
    </row>
    <row r="81" spans="1:68" x14ac:dyDescent="0.25">
      <c r="A81" s="16" t="s">
        <v>250</v>
      </c>
      <c r="B81" s="12">
        <v>2</v>
      </c>
      <c r="C81" s="16" t="s">
        <v>250</v>
      </c>
      <c r="D81" s="17">
        <v>39.79</v>
      </c>
      <c r="E81" s="18">
        <v>0</v>
      </c>
      <c r="F81" s="17">
        <v>2.5499999999999998</v>
      </c>
      <c r="G81" s="17">
        <v>28.16</v>
      </c>
      <c r="H81" s="19">
        <v>182.67</v>
      </c>
      <c r="I81" s="17">
        <v>248.73</v>
      </c>
      <c r="J81" s="20">
        <v>0.80281944444444397</v>
      </c>
      <c r="K81" s="18">
        <v>96334.436257472495</v>
      </c>
      <c r="L81" s="18">
        <v>512</v>
      </c>
      <c r="M81" s="17">
        <v>3.1682000000000001</v>
      </c>
      <c r="N81" s="17">
        <v>10.35</v>
      </c>
      <c r="O81" s="17">
        <v>15.83</v>
      </c>
      <c r="P81" s="17">
        <v>49.98</v>
      </c>
      <c r="Q81" s="17">
        <v>62.69</v>
      </c>
      <c r="R81" s="20">
        <v>0.46279999999999999</v>
      </c>
      <c r="S81" s="20">
        <v>1.26561944444444</v>
      </c>
      <c r="T81" s="18">
        <v>151870.01251216501</v>
      </c>
      <c r="U81" s="17">
        <v>99.4</v>
      </c>
      <c r="V81" s="18">
        <v>2888</v>
      </c>
      <c r="W81" s="12"/>
      <c r="X81" s="21">
        <v>0.78300000000000003</v>
      </c>
      <c r="Y81" s="21">
        <v>0.79300000000000004</v>
      </c>
      <c r="Z81" s="21">
        <v>0.79500000000000004</v>
      </c>
      <c r="AA81" s="21">
        <v>0.80100000000000005</v>
      </c>
      <c r="AB81" s="21">
        <v>0.78</v>
      </c>
      <c r="AC81" s="21">
        <v>0.79700000000000004</v>
      </c>
      <c r="AD81" s="21">
        <v>0.80500000000000005</v>
      </c>
      <c r="AE81" s="21">
        <v>0.80100000000000005</v>
      </c>
      <c r="AF81" s="21">
        <v>0.79</v>
      </c>
      <c r="AG81" s="21">
        <v>0.80800000000000005</v>
      </c>
      <c r="AH81" s="21">
        <v>0.81200000000000006</v>
      </c>
      <c r="AI81" s="21">
        <v>0.79600000000000004</v>
      </c>
      <c r="AJ81" s="21">
        <v>0.79900000000000004</v>
      </c>
      <c r="AK81" s="21">
        <v>0.81200000000000006</v>
      </c>
      <c r="AL81" s="21">
        <v>0.80200000000000005</v>
      </c>
      <c r="AM81" s="21">
        <v>0.80600000000000005</v>
      </c>
      <c r="AN81" s="21">
        <v>0.78200000000000003</v>
      </c>
      <c r="AO81" s="21">
        <v>0.80100000000000005</v>
      </c>
      <c r="AP81" s="21">
        <v>0.79500000000000004</v>
      </c>
      <c r="AQ81" s="21">
        <v>0.80400000000000005</v>
      </c>
      <c r="AR81" s="21">
        <v>0.79400000000000004</v>
      </c>
      <c r="AS81" s="21">
        <v>0.80900000000000005</v>
      </c>
      <c r="AT81" s="21">
        <v>0.81499999999999995</v>
      </c>
      <c r="AU81" s="21">
        <v>0.79700000000000004</v>
      </c>
      <c r="AV81" s="21">
        <v>0.79500000000000004</v>
      </c>
      <c r="AW81" s="21">
        <v>0.80800000000000005</v>
      </c>
      <c r="AX81" s="21">
        <v>0.80600000000000005</v>
      </c>
      <c r="AY81" s="21">
        <v>0.80600000000000005</v>
      </c>
      <c r="AZ81" s="21">
        <v>0.76900000000000002</v>
      </c>
      <c r="BA81" s="21">
        <v>0.79700000000000004</v>
      </c>
      <c r="BB81" s="21">
        <v>0.80900000000000005</v>
      </c>
      <c r="BC81" s="21">
        <v>0.79500000000000004</v>
      </c>
      <c r="BD81" s="21">
        <v>0.81200000000000006</v>
      </c>
      <c r="BE81" s="21">
        <v>0.80200000000000005</v>
      </c>
      <c r="BF81" s="21">
        <v>0.80400000000000005</v>
      </c>
      <c r="BG81" s="21">
        <v>0.80500000000000005</v>
      </c>
      <c r="BH81" s="21">
        <v>0.79800000000000004</v>
      </c>
      <c r="BI81" s="21">
        <v>0.79600000000000004</v>
      </c>
      <c r="BJ81" s="21">
        <v>0.8</v>
      </c>
      <c r="BK81" s="21">
        <v>0.83599999999999997</v>
      </c>
      <c r="BL81" s="21">
        <v>0.83899999999999997</v>
      </c>
      <c r="BM81" s="21"/>
      <c r="BN81" s="21"/>
      <c r="BO81" s="21"/>
      <c r="BP81" s="21"/>
    </row>
    <row r="82" spans="1:68" x14ac:dyDescent="0.25">
      <c r="A82" s="16" t="s">
        <v>250</v>
      </c>
      <c r="B82" s="12">
        <v>3</v>
      </c>
      <c r="C82" s="16" t="s">
        <v>250</v>
      </c>
      <c r="D82" s="17">
        <v>39.78</v>
      </c>
      <c r="E82" s="18">
        <v>0</v>
      </c>
      <c r="F82" s="17">
        <v>2.93</v>
      </c>
      <c r="G82" s="17">
        <v>28.88</v>
      </c>
      <c r="H82" s="19">
        <v>184.67</v>
      </c>
      <c r="I82" s="17">
        <v>248.93</v>
      </c>
      <c r="J82" s="20">
        <v>0.80873333333333297</v>
      </c>
      <c r="K82" s="18">
        <v>97056.720407651796</v>
      </c>
      <c r="L82" s="18">
        <v>512</v>
      </c>
      <c r="M82" s="17">
        <v>3.2416999999999998</v>
      </c>
      <c r="N82" s="17">
        <v>10.06</v>
      </c>
      <c r="O82" s="17">
        <v>15.84</v>
      </c>
      <c r="P82" s="17">
        <v>50.71</v>
      </c>
      <c r="Q82" s="17">
        <v>62.75</v>
      </c>
      <c r="R82" s="20">
        <v>0.452430555555556</v>
      </c>
      <c r="S82" s="20">
        <v>1.2611638888888901</v>
      </c>
      <c r="T82" s="18">
        <v>151351.85030490399</v>
      </c>
      <c r="U82" s="17">
        <v>99.6</v>
      </c>
      <c r="V82" s="18">
        <v>2892</v>
      </c>
      <c r="W82" s="12"/>
      <c r="X82" s="21">
        <v>0.78900000000000003</v>
      </c>
      <c r="Y82" s="21">
        <v>0.80500000000000005</v>
      </c>
      <c r="Z82" s="21">
        <v>0.81200000000000006</v>
      </c>
      <c r="AA82" s="21">
        <v>0.81299999999999994</v>
      </c>
      <c r="AB82" s="21">
        <v>0.81</v>
      </c>
      <c r="AC82" s="21">
        <v>0.80500000000000005</v>
      </c>
      <c r="AD82" s="21">
        <v>0.81399999999999995</v>
      </c>
      <c r="AE82" s="21">
        <v>0.80600000000000005</v>
      </c>
      <c r="AF82" s="21">
        <v>0.79200000000000004</v>
      </c>
      <c r="AG82" s="21">
        <v>0.81799999999999995</v>
      </c>
      <c r="AH82" s="21">
        <v>0.81599999999999995</v>
      </c>
      <c r="AI82" s="21">
        <v>0.81499999999999995</v>
      </c>
      <c r="AJ82" s="21">
        <v>0.79600000000000004</v>
      </c>
      <c r="AK82" s="21">
        <v>0.82699999999999996</v>
      </c>
      <c r="AL82" s="21">
        <v>0.81499999999999995</v>
      </c>
      <c r="AM82" s="21">
        <v>0.81599999999999995</v>
      </c>
      <c r="AN82" s="21">
        <v>0.80300000000000005</v>
      </c>
      <c r="AO82" s="21">
        <v>0.82199999999999995</v>
      </c>
      <c r="AP82" s="21">
        <v>0.81299999999999994</v>
      </c>
      <c r="AQ82" s="21">
        <v>0.82</v>
      </c>
      <c r="AR82" s="21">
        <v>0.80900000000000005</v>
      </c>
      <c r="AS82" s="21">
        <v>0.79</v>
      </c>
      <c r="AT82" s="21">
        <v>0.81799999999999995</v>
      </c>
      <c r="AU82" s="21">
        <v>0.82599999999999996</v>
      </c>
      <c r="AV82" s="21">
        <v>0.79400000000000004</v>
      </c>
      <c r="AW82" s="21">
        <v>0.80700000000000005</v>
      </c>
      <c r="AX82" s="21">
        <v>0.81699999999999995</v>
      </c>
      <c r="AY82" s="21">
        <v>0.81599999999999995</v>
      </c>
      <c r="AZ82" s="21">
        <v>0.80300000000000005</v>
      </c>
      <c r="BA82" s="21">
        <v>0.80900000000000005</v>
      </c>
      <c r="BB82" s="21">
        <v>0.80900000000000005</v>
      </c>
      <c r="BC82" s="21">
        <v>0.81799999999999995</v>
      </c>
      <c r="BD82" s="21">
        <v>0.80700000000000005</v>
      </c>
      <c r="BE82" s="21">
        <v>0.80500000000000005</v>
      </c>
      <c r="BF82" s="21">
        <v>0.81100000000000005</v>
      </c>
      <c r="BG82" s="21">
        <v>0.81399999999999995</v>
      </c>
      <c r="BH82" s="21">
        <v>0.81399999999999995</v>
      </c>
      <c r="BI82" s="21">
        <v>0.78600000000000003</v>
      </c>
      <c r="BJ82" s="21">
        <v>0.80400000000000005</v>
      </c>
      <c r="BK82" s="21">
        <v>0.80100000000000005</v>
      </c>
      <c r="BL82" s="21">
        <v>0.77900000000000003</v>
      </c>
      <c r="BM82" s="21"/>
      <c r="BN82" s="21"/>
      <c r="BO82" s="21"/>
      <c r="BP82" s="21"/>
    </row>
    <row r="83" spans="1:68" x14ac:dyDescent="0.25">
      <c r="A83" s="22" t="s">
        <v>251</v>
      </c>
      <c r="B83" s="15">
        <v>1</v>
      </c>
      <c r="C83" s="22" t="s">
        <v>251</v>
      </c>
      <c r="D83" s="23">
        <v>39.83</v>
      </c>
      <c r="E83" s="24">
        <v>0</v>
      </c>
      <c r="F83" s="23">
        <v>3.05</v>
      </c>
      <c r="G83" s="23">
        <v>30.08</v>
      </c>
      <c r="H83" s="25">
        <v>184.2</v>
      </c>
      <c r="I83" s="23">
        <v>248.88</v>
      </c>
      <c r="J83" s="26">
        <v>0.83456666666666701</v>
      </c>
      <c r="K83" s="24">
        <v>100176.953930143</v>
      </c>
      <c r="L83" s="24">
        <v>512</v>
      </c>
      <c r="M83" s="23">
        <v>3.6816</v>
      </c>
      <c r="N83" s="23">
        <v>9.16</v>
      </c>
      <c r="O83" s="23">
        <v>16.260000000000002</v>
      </c>
      <c r="P83" s="23">
        <v>53.01</v>
      </c>
      <c r="Q83" s="23">
        <v>63.07</v>
      </c>
      <c r="R83" s="26">
        <v>0.437288888888889</v>
      </c>
      <c r="S83" s="26">
        <v>1.27185555555556</v>
      </c>
      <c r="T83" s="24">
        <v>152664.252687873</v>
      </c>
      <c r="U83" s="23">
        <v>99.5</v>
      </c>
      <c r="V83" s="24">
        <v>2890</v>
      </c>
      <c r="W83" s="15"/>
      <c r="X83" s="27">
        <v>0.80800000000000005</v>
      </c>
      <c r="Y83" s="27">
        <v>0.84199999999999997</v>
      </c>
      <c r="Z83" s="27">
        <v>0.82899999999999996</v>
      </c>
      <c r="AA83" s="27">
        <v>0.83299999999999996</v>
      </c>
      <c r="AB83" s="27">
        <v>0.82</v>
      </c>
      <c r="AC83" s="27">
        <v>0.83099999999999996</v>
      </c>
      <c r="AD83" s="27">
        <v>0.83699999999999997</v>
      </c>
      <c r="AE83" s="27">
        <v>0.83599999999999997</v>
      </c>
      <c r="AF83" s="27">
        <v>0.82899999999999996</v>
      </c>
      <c r="AG83" s="27">
        <v>0.83899999999999997</v>
      </c>
      <c r="AH83" s="27">
        <v>0.82699999999999996</v>
      </c>
      <c r="AI83" s="27">
        <v>0.83599999999999997</v>
      </c>
      <c r="AJ83" s="27">
        <v>0.83</v>
      </c>
      <c r="AK83" s="27">
        <v>0.82899999999999996</v>
      </c>
      <c r="AL83" s="27">
        <v>0.84899999999999998</v>
      </c>
      <c r="AM83" s="27">
        <v>0.83599999999999997</v>
      </c>
      <c r="AN83" s="27">
        <v>0.82799999999999996</v>
      </c>
      <c r="AO83" s="27">
        <v>0.84599999999999997</v>
      </c>
      <c r="AP83" s="27">
        <v>0.83499999999999996</v>
      </c>
      <c r="AQ83" s="27">
        <v>0.83799999999999997</v>
      </c>
      <c r="AR83" s="27">
        <v>0.83499999999999996</v>
      </c>
      <c r="AS83" s="27">
        <v>0.82899999999999996</v>
      </c>
      <c r="AT83" s="27">
        <v>0.84599999999999997</v>
      </c>
      <c r="AU83" s="27">
        <v>0.85099999999999998</v>
      </c>
      <c r="AV83" s="27">
        <v>0.83599999999999997</v>
      </c>
      <c r="AW83" s="27">
        <v>0.84099999999999997</v>
      </c>
      <c r="AX83" s="27">
        <v>0.82599999999999996</v>
      </c>
      <c r="AY83" s="27">
        <v>0.84399999999999997</v>
      </c>
      <c r="AZ83" s="27">
        <v>0.83699999999999997</v>
      </c>
      <c r="BA83" s="27">
        <v>0.82799999999999996</v>
      </c>
      <c r="BB83" s="27">
        <v>0.84599999999999997</v>
      </c>
      <c r="BC83" s="27">
        <v>0.83199999999999996</v>
      </c>
      <c r="BD83" s="27">
        <v>0.85399999999999998</v>
      </c>
      <c r="BE83" s="27">
        <v>0.83599999999999997</v>
      </c>
      <c r="BF83" s="27">
        <v>0.83599999999999997</v>
      </c>
      <c r="BG83" s="27">
        <v>0.83599999999999997</v>
      </c>
      <c r="BH83" s="27">
        <v>0.83699999999999997</v>
      </c>
      <c r="BI83" s="27">
        <v>0.83699999999999997</v>
      </c>
      <c r="BJ83" s="27">
        <v>0.85399999999999998</v>
      </c>
      <c r="BK83" s="27">
        <v>0.83299999999999996</v>
      </c>
      <c r="BL83" s="27">
        <v>0.747</v>
      </c>
      <c r="BM83" s="27"/>
      <c r="BN83" s="27"/>
      <c r="BO83" s="27"/>
      <c r="BP83" s="27"/>
    </row>
    <row r="84" spans="1:68" x14ac:dyDescent="0.25">
      <c r="A84" s="22" t="s">
        <v>251</v>
      </c>
      <c r="B84" s="15">
        <v>2</v>
      </c>
      <c r="C84" s="22" t="s">
        <v>251</v>
      </c>
      <c r="D84" s="23">
        <v>39.76</v>
      </c>
      <c r="E84" s="24">
        <v>0</v>
      </c>
      <c r="F84" s="23">
        <v>3.08</v>
      </c>
      <c r="G84" s="23">
        <v>30</v>
      </c>
      <c r="H84" s="25">
        <v>184.84</v>
      </c>
      <c r="I84" s="23">
        <v>248.88</v>
      </c>
      <c r="J84" s="26">
        <v>0.83353888888888905</v>
      </c>
      <c r="K84" s="24">
        <v>100062.18164611601</v>
      </c>
      <c r="L84" s="24">
        <v>256</v>
      </c>
      <c r="M84" s="23">
        <v>3.6472000000000002</v>
      </c>
      <c r="N84" s="23">
        <v>9.1999999999999993</v>
      </c>
      <c r="O84" s="23">
        <v>16.3</v>
      </c>
      <c r="P84" s="23">
        <v>52.83</v>
      </c>
      <c r="Q84" s="23">
        <v>63.02</v>
      </c>
      <c r="R84" s="26">
        <v>0.43725555555555601</v>
      </c>
      <c r="S84" s="26">
        <v>1.2707944444444501</v>
      </c>
      <c r="T84" s="24">
        <v>152550.81136749499</v>
      </c>
      <c r="U84" s="23">
        <v>99.5</v>
      </c>
      <c r="V84" s="24">
        <v>2890</v>
      </c>
      <c r="W84" s="15"/>
      <c r="X84" s="27">
        <v>0.79600000000000004</v>
      </c>
      <c r="Y84" s="27">
        <v>0.83799999999999997</v>
      </c>
      <c r="Z84" s="27">
        <v>0.84499999999999997</v>
      </c>
      <c r="AA84" s="27">
        <v>0.84099999999999997</v>
      </c>
      <c r="AB84" s="27">
        <v>0.82799999999999996</v>
      </c>
      <c r="AC84" s="27">
        <v>0.84299999999999997</v>
      </c>
      <c r="AD84" s="27">
        <v>0.82799999999999996</v>
      </c>
      <c r="AE84" s="27">
        <v>0.85299999999999998</v>
      </c>
      <c r="AF84" s="27">
        <v>0.83499999999999996</v>
      </c>
      <c r="AG84" s="27">
        <v>0.82799999999999996</v>
      </c>
      <c r="AH84" s="27">
        <v>0.84199999999999997</v>
      </c>
      <c r="AI84" s="27">
        <v>0.82499999999999996</v>
      </c>
      <c r="AJ84" s="27">
        <v>0.84199999999999997</v>
      </c>
      <c r="AK84" s="27">
        <v>0.84499999999999997</v>
      </c>
      <c r="AL84" s="27">
        <v>0.83299999999999996</v>
      </c>
      <c r="AM84" s="27">
        <v>0.84299999999999997</v>
      </c>
      <c r="AN84" s="27">
        <v>0.82499999999999996</v>
      </c>
      <c r="AO84" s="27">
        <v>0.84</v>
      </c>
      <c r="AP84" s="27">
        <v>0.83199999999999996</v>
      </c>
      <c r="AQ84" s="27">
        <v>0.83199999999999996</v>
      </c>
      <c r="AR84" s="27">
        <v>0.82799999999999996</v>
      </c>
      <c r="AS84" s="27">
        <v>0.81599999999999995</v>
      </c>
      <c r="AT84" s="27">
        <v>0.85</v>
      </c>
      <c r="AU84" s="27">
        <v>0.84499999999999997</v>
      </c>
      <c r="AV84" s="27">
        <v>0.86</v>
      </c>
      <c r="AW84" s="27">
        <v>0.84099999999999997</v>
      </c>
      <c r="AX84" s="27">
        <v>0.86099999999999999</v>
      </c>
      <c r="AY84" s="27">
        <v>0.83399999999999996</v>
      </c>
      <c r="AZ84" s="27">
        <v>0.82799999999999996</v>
      </c>
      <c r="BA84" s="27">
        <v>0.82099999999999995</v>
      </c>
      <c r="BB84" s="27">
        <v>0.85199999999999998</v>
      </c>
      <c r="BC84" s="27">
        <v>0.83699999999999997</v>
      </c>
      <c r="BD84" s="27">
        <v>0.83399999999999996</v>
      </c>
      <c r="BE84" s="27">
        <v>0.83699999999999997</v>
      </c>
      <c r="BF84" s="27">
        <v>0.85</v>
      </c>
      <c r="BG84" s="27">
        <v>0.83199999999999996</v>
      </c>
      <c r="BH84" s="27">
        <v>0.84499999999999997</v>
      </c>
      <c r="BI84" s="27">
        <v>0.83299999999999996</v>
      </c>
      <c r="BJ84" s="27">
        <v>0.84699999999999998</v>
      </c>
      <c r="BK84" s="27">
        <v>0.83399999999999996</v>
      </c>
      <c r="BL84" s="27">
        <v>0.67900000000000005</v>
      </c>
      <c r="BM84" s="27"/>
      <c r="BN84" s="27"/>
      <c r="BO84" s="27"/>
      <c r="BP84" s="27"/>
    </row>
    <row r="85" spans="1:68" x14ac:dyDescent="0.25">
      <c r="A85" s="22" t="s">
        <v>251</v>
      </c>
      <c r="B85" s="15">
        <v>3</v>
      </c>
      <c r="C85" s="22" t="s">
        <v>251</v>
      </c>
      <c r="D85" s="23">
        <v>39.76</v>
      </c>
      <c r="E85" s="24">
        <v>0</v>
      </c>
      <c r="F85" s="23">
        <v>3.06</v>
      </c>
      <c r="G85" s="23">
        <v>30.13</v>
      </c>
      <c r="H85" s="25">
        <v>183.71</v>
      </c>
      <c r="I85" s="23">
        <v>249.37</v>
      </c>
      <c r="J85" s="26">
        <v>0.83791666666666698</v>
      </c>
      <c r="K85" s="24">
        <v>100592.110409566</v>
      </c>
      <c r="L85" s="24">
        <v>512</v>
      </c>
      <c r="M85" s="23">
        <v>3.7130000000000001</v>
      </c>
      <c r="N85" s="23">
        <v>9.24</v>
      </c>
      <c r="O85" s="23">
        <v>16.25</v>
      </c>
      <c r="P85" s="23">
        <v>52.83</v>
      </c>
      <c r="Q85" s="23">
        <v>62.97</v>
      </c>
      <c r="R85" s="26">
        <v>0.43927500000000003</v>
      </c>
      <c r="S85" s="26">
        <v>1.2771916666666701</v>
      </c>
      <c r="T85" s="24">
        <v>153323.797284461</v>
      </c>
      <c r="U85" s="23">
        <v>99.5</v>
      </c>
      <c r="V85" s="24">
        <v>2889</v>
      </c>
      <c r="W85" s="15"/>
      <c r="X85" s="27">
        <v>0.81699999999999995</v>
      </c>
      <c r="Y85" s="27">
        <v>0.83899999999999997</v>
      </c>
      <c r="Z85" s="27">
        <v>0.83599999999999997</v>
      </c>
      <c r="AA85" s="27">
        <v>0.84199999999999997</v>
      </c>
      <c r="AB85" s="27">
        <v>0.83099999999999996</v>
      </c>
      <c r="AC85" s="27">
        <v>0.82499999999999996</v>
      </c>
      <c r="AD85" s="27">
        <v>0.85199999999999998</v>
      </c>
      <c r="AE85" s="27">
        <v>0.82899999999999996</v>
      </c>
      <c r="AF85" s="27">
        <v>0.82099999999999995</v>
      </c>
      <c r="AG85" s="27">
        <v>0.90400000000000003</v>
      </c>
      <c r="AH85" s="27">
        <v>0.83199999999999996</v>
      </c>
      <c r="AI85" s="27">
        <v>0.84599999999999997</v>
      </c>
      <c r="AJ85" s="27">
        <v>0.82099999999999995</v>
      </c>
      <c r="AK85" s="27">
        <v>0.83299999999999996</v>
      </c>
      <c r="AL85" s="27">
        <v>0.85399999999999998</v>
      </c>
      <c r="AM85" s="27">
        <v>0.84799999999999998</v>
      </c>
      <c r="AN85" s="27">
        <v>0.83799999999999997</v>
      </c>
      <c r="AO85" s="27">
        <v>0.83699999999999997</v>
      </c>
      <c r="AP85" s="27">
        <v>0.83</v>
      </c>
      <c r="AQ85" s="27">
        <v>0.84699999999999998</v>
      </c>
      <c r="AR85" s="27">
        <v>0.82799999999999996</v>
      </c>
      <c r="AS85" s="27">
        <v>0.81299999999999994</v>
      </c>
      <c r="AT85" s="27">
        <v>0.84299999999999997</v>
      </c>
      <c r="AU85" s="27">
        <v>0.84199999999999997</v>
      </c>
      <c r="AV85" s="27">
        <v>0.83</v>
      </c>
      <c r="AW85" s="27">
        <v>0.83299999999999996</v>
      </c>
      <c r="AX85" s="27">
        <v>0.83699999999999997</v>
      </c>
      <c r="AY85" s="27">
        <v>0.84799999999999998</v>
      </c>
      <c r="AZ85" s="27">
        <v>0.84499999999999997</v>
      </c>
      <c r="BA85" s="27">
        <v>0.82499999999999996</v>
      </c>
      <c r="BB85" s="27">
        <v>0.86099999999999999</v>
      </c>
      <c r="BC85" s="27">
        <v>0.84099999999999997</v>
      </c>
      <c r="BD85" s="27">
        <v>0.83599999999999997</v>
      </c>
      <c r="BE85" s="27">
        <v>0.83399999999999996</v>
      </c>
      <c r="BF85" s="27">
        <v>0.83899999999999997</v>
      </c>
      <c r="BG85" s="27">
        <v>0.85599999999999998</v>
      </c>
      <c r="BH85" s="27">
        <v>0.84699999999999998</v>
      </c>
      <c r="BI85" s="27">
        <v>0.82699999999999996</v>
      </c>
      <c r="BJ85" s="27">
        <v>0.85399999999999998</v>
      </c>
      <c r="BK85" s="27">
        <v>0.83399999999999996</v>
      </c>
      <c r="BL85" s="27">
        <v>0.77600000000000002</v>
      </c>
      <c r="BM85" s="27"/>
      <c r="BN85" s="27"/>
      <c r="BO85" s="27"/>
      <c r="BP85" s="27"/>
    </row>
    <row r="86" spans="1:68" x14ac:dyDescent="0.25">
      <c r="A86" s="16" t="s">
        <v>252</v>
      </c>
      <c r="B86" s="12">
        <v>1</v>
      </c>
      <c r="C86" s="16" t="s">
        <v>252</v>
      </c>
      <c r="D86" s="17">
        <v>45.06</v>
      </c>
      <c r="E86" s="18">
        <v>0</v>
      </c>
      <c r="F86" s="17">
        <v>2.6</v>
      </c>
      <c r="G86" s="17">
        <v>28.34</v>
      </c>
      <c r="H86" s="19">
        <v>186.26</v>
      </c>
      <c r="I86" s="17">
        <v>249.04</v>
      </c>
      <c r="J86" s="20">
        <v>0.80378095238095204</v>
      </c>
      <c r="K86" s="18">
        <v>96688.061835186905</v>
      </c>
      <c r="L86" s="18">
        <v>512</v>
      </c>
      <c r="M86" s="17">
        <v>3.1873</v>
      </c>
      <c r="N86" s="17">
        <v>10.34</v>
      </c>
      <c r="O86" s="17">
        <v>15.83</v>
      </c>
      <c r="P86" s="17">
        <v>49.78</v>
      </c>
      <c r="Q86" s="17">
        <v>62.64</v>
      </c>
      <c r="R86" s="20">
        <v>0.46298095238095199</v>
      </c>
      <c r="S86" s="20">
        <v>1.2667619047619101</v>
      </c>
      <c r="T86" s="18">
        <v>152366.48009498199</v>
      </c>
      <c r="U86" s="17">
        <v>99.5</v>
      </c>
      <c r="V86" s="18">
        <v>2889</v>
      </c>
      <c r="W86" s="12"/>
      <c r="X86" s="21">
        <v>0.77700000000000002</v>
      </c>
      <c r="Y86" s="21">
        <v>0.80900000000000005</v>
      </c>
      <c r="Z86" s="21">
        <v>0.80600000000000005</v>
      </c>
      <c r="AA86" s="21">
        <v>0.80600000000000005</v>
      </c>
      <c r="AB86" s="21">
        <v>0.79800000000000004</v>
      </c>
      <c r="AC86" s="21">
        <v>0.80400000000000005</v>
      </c>
      <c r="AD86" s="21">
        <v>0.80900000000000005</v>
      </c>
      <c r="AE86" s="21">
        <v>0.79300000000000004</v>
      </c>
      <c r="AF86" s="21">
        <v>0.79100000000000004</v>
      </c>
      <c r="AG86" s="21">
        <v>0.80600000000000005</v>
      </c>
      <c r="AH86" s="21">
        <v>0.8</v>
      </c>
      <c r="AI86" s="21">
        <v>0.79300000000000004</v>
      </c>
      <c r="AJ86" s="21">
        <v>0.80300000000000005</v>
      </c>
      <c r="AK86" s="21">
        <v>0.80600000000000005</v>
      </c>
      <c r="AL86" s="21">
        <v>0.81</v>
      </c>
      <c r="AM86" s="21">
        <v>0.80500000000000005</v>
      </c>
      <c r="AN86" s="21">
        <v>0.79400000000000004</v>
      </c>
      <c r="AO86" s="21">
        <v>0.79300000000000004</v>
      </c>
      <c r="AP86" s="21">
        <v>0.81599999999999995</v>
      </c>
      <c r="AQ86" s="21">
        <v>0.80100000000000005</v>
      </c>
      <c r="AR86" s="21">
        <v>0.79400000000000004</v>
      </c>
      <c r="AS86" s="21">
        <v>0.81200000000000006</v>
      </c>
      <c r="AT86" s="21">
        <v>0.81799999999999995</v>
      </c>
      <c r="AU86" s="21">
        <v>0.80900000000000005</v>
      </c>
      <c r="AV86" s="21">
        <v>0.79900000000000004</v>
      </c>
      <c r="AW86" s="21">
        <v>0.79600000000000004</v>
      </c>
      <c r="AX86" s="21">
        <v>0.80600000000000005</v>
      </c>
      <c r="AY86" s="21">
        <v>0.80700000000000005</v>
      </c>
      <c r="AZ86" s="21">
        <v>0.82099999999999995</v>
      </c>
      <c r="BA86" s="21">
        <v>0.79900000000000004</v>
      </c>
      <c r="BB86" s="21">
        <v>0.79600000000000004</v>
      </c>
      <c r="BC86" s="21">
        <v>0.79700000000000004</v>
      </c>
      <c r="BD86" s="21">
        <v>0.79700000000000004</v>
      </c>
      <c r="BE86" s="21">
        <v>0.84099999999999997</v>
      </c>
      <c r="BF86" s="21">
        <v>0.89500000000000002</v>
      </c>
      <c r="BG86" s="21">
        <v>0.80700000000000005</v>
      </c>
      <c r="BH86" s="21">
        <v>0.80100000000000005</v>
      </c>
      <c r="BI86" s="21">
        <v>0.78700000000000003</v>
      </c>
      <c r="BJ86" s="21">
        <v>0.80300000000000005</v>
      </c>
      <c r="BK86" s="21">
        <v>0.81200000000000006</v>
      </c>
      <c r="BL86" s="21">
        <v>0.81100000000000005</v>
      </c>
      <c r="BM86" s="21">
        <v>0.79900000000000004</v>
      </c>
      <c r="BN86" s="21">
        <v>0.79600000000000004</v>
      </c>
      <c r="BO86" s="21">
        <v>0.81299999999999994</v>
      </c>
      <c r="BP86" s="21">
        <v>0.80400000000000005</v>
      </c>
    </row>
    <row r="87" spans="1:68" x14ac:dyDescent="0.25">
      <c r="A87" s="16" t="s">
        <v>252</v>
      </c>
      <c r="B87" s="12">
        <v>2</v>
      </c>
      <c r="C87" s="16" t="s">
        <v>252</v>
      </c>
      <c r="D87" s="17">
        <v>39.799999999999997</v>
      </c>
      <c r="E87" s="18">
        <v>0</v>
      </c>
      <c r="F87" s="17">
        <v>2.76</v>
      </c>
      <c r="G87" s="17">
        <v>28.11</v>
      </c>
      <c r="H87" s="19">
        <v>182.66</v>
      </c>
      <c r="I87" s="17">
        <v>248.69</v>
      </c>
      <c r="J87" s="20">
        <v>0.78325135135135204</v>
      </c>
      <c r="K87" s="18">
        <v>96582.136806732</v>
      </c>
      <c r="L87" s="18">
        <v>512</v>
      </c>
      <c r="M87" s="17">
        <v>3.1501999999999999</v>
      </c>
      <c r="N87" s="17">
        <v>10.36</v>
      </c>
      <c r="O87" s="17">
        <v>15.83</v>
      </c>
      <c r="P87" s="17">
        <v>49.85</v>
      </c>
      <c r="Q87" s="17">
        <v>62.66</v>
      </c>
      <c r="R87" s="20">
        <v>0.451594594594595</v>
      </c>
      <c r="S87" s="20">
        <v>1.23484594594595</v>
      </c>
      <c r="T87" s="18">
        <v>152267.586858111</v>
      </c>
      <c r="U87" s="17">
        <v>99.5</v>
      </c>
      <c r="V87" s="18">
        <v>2889</v>
      </c>
      <c r="W87" s="12"/>
      <c r="X87" s="21">
        <v>0.79200000000000004</v>
      </c>
      <c r="Y87" s="21">
        <v>0.81399999999999995</v>
      </c>
      <c r="Z87" s="21">
        <v>0.80600000000000005</v>
      </c>
      <c r="AA87" s="21">
        <v>0.80800000000000005</v>
      </c>
      <c r="AB87" s="21">
        <v>0.79</v>
      </c>
      <c r="AC87" s="21">
        <v>0.80900000000000005</v>
      </c>
      <c r="AD87" s="21">
        <v>0.80600000000000005</v>
      </c>
      <c r="AE87" s="21">
        <v>0.80700000000000005</v>
      </c>
      <c r="AF87" s="21">
        <v>0.80800000000000005</v>
      </c>
      <c r="AG87" s="21">
        <v>0.81200000000000006</v>
      </c>
      <c r="AH87" s="21">
        <v>0.82199999999999995</v>
      </c>
      <c r="AI87" s="21">
        <v>0.80900000000000005</v>
      </c>
      <c r="AJ87" s="21">
        <v>0.81</v>
      </c>
      <c r="AK87" s="21">
        <v>0.79500000000000004</v>
      </c>
      <c r="AL87" s="21">
        <v>0.78300000000000003</v>
      </c>
      <c r="AM87" s="21">
        <v>0.80400000000000005</v>
      </c>
      <c r="AN87" s="21">
        <v>0.80400000000000005</v>
      </c>
      <c r="AO87" s="21">
        <v>0.8</v>
      </c>
      <c r="AP87" s="21">
        <v>0.81699999999999995</v>
      </c>
      <c r="AQ87" s="21">
        <v>0.80200000000000005</v>
      </c>
      <c r="AR87" s="21">
        <v>0.79400000000000004</v>
      </c>
      <c r="AS87" s="21">
        <v>0.81599999999999995</v>
      </c>
      <c r="AT87" s="21">
        <v>0.80600000000000005</v>
      </c>
      <c r="AU87" s="21">
        <v>0.8</v>
      </c>
      <c r="AV87" s="21">
        <v>0.78600000000000003</v>
      </c>
      <c r="AW87" s="21">
        <v>0.81100000000000005</v>
      </c>
      <c r="AX87" s="21">
        <v>0.80400000000000005</v>
      </c>
      <c r="AY87" s="21">
        <v>0.81</v>
      </c>
      <c r="AZ87" s="21">
        <v>0.80100000000000005</v>
      </c>
      <c r="BA87" s="21">
        <v>0.79600000000000004</v>
      </c>
      <c r="BB87" s="21">
        <v>0.81499999999999995</v>
      </c>
      <c r="BC87" s="21">
        <v>0.84</v>
      </c>
      <c r="BD87" s="21">
        <v>0.85</v>
      </c>
      <c r="BE87" s="21">
        <v>0.80500000000000005</v>
      </c>
      <c r="BF87" s="21">
        <v>0.78900000000000003</v>
      </c>
      <c r="BG87" s="21">
        <v>0.80700000000000005</v>
      </c>
      <c r="BH87" s="21">
        <v>0.79900000000000004</v>
      </c>
      <c r="BI87" s="21">
        <v>0.78300000000000003</v>
      </c>
      <c r="BJ87" s="21">
        <v>0.79700000000000004</v>
      </c>
      <c r="BK87" s="21">
        <v>0.81599999999999995</v>
      </c>
      <c r="BL87" s="21">
        <v>0.76900000000000002</v>
      </c>
      <c r="BM87" s="21">
        <v>0</v>
      </c>
      <c r="BN87" s="21"/>
      <c r="BO87" s="21"/>
      <c r="BP87" s="21"/>
    </row>
    <row r="88" spans="1:68" x14ac:dyDescent="0.25">
      <c r="A88" s="16" t="s">
        <v>252</v>
      </c>
      <c r="B88" s="12">
        <v>3</v>
      </c>
      <c r="C88" s="16" t="s">
        <v>252</v>
      </c>
      <c r="D88" s="17">
        <v>39.79</v>
      </c>
      <c r="E88" s="18">
        <v>0</v>
      </c>
      <c r="F88" s="17">
        <v>2.76</v>
      </c>
      <c r="G88" s="17">
        <v>28.27</v>
      </c>
      <c r="H88" s="19">
        <v>183.88</v>
      </c>
      <c r="I88" s="17">
        <v>248.83</v>
      </c>
      <c r="J88" s="20">
        <v>0.80373611111111098</v>
      </c>
      <c r="K88" s="18">
        <v>96451.419198799107</v>
      </c>
      <c r="L88" s="18">
        <v>512</v>
      </c>
      <c r="M88" s="17">
        <v>3.1825000000000001</v>
      </c>
      <c r="N88" s="17">
        <v>10.23</v>
      </c>
      <c r="O88" s="17">
        <v>15.83</v>
      </c>
      <c r="P88" s="17">
        <v>50.2</v>
      </c>
      <c r="Q88" s="17">
        <v>62.72</v>
      </c>
      <c r="R88" s="20">
        <v>0.45942777777777799</v>
      </c>
      <c r="S88" s="20">
        <v>1.2631638888888901</v>
      </c>
      <c r="T88" s="18">
        <v>151584.192821996</v>
      </c>
      <c r="U88" s="17">
        <v>99.5</v>
      </c>
      <c r="V88" s="18">
        <v>2889</v>
      </c>
      <c r="W88" s="12"/>
      <c r="X88" s="21">
        <v>0.77300000000000002</v>
      </c>
      <c r="Y88" s="21">
        <v>0.82099999999999995</v>
      </c>
      <c r="Z88" s="21">
        <v>0.81200000000000006</v>
      </c>
      <c r="AA88" s="21">
        <v>0.80400000000000005</v>
      </c>
      <c r="AB88" s="21">
        <v>0.80600000000000005</v>
      </c>
      <c r="AC88" s="21">
        <v>0.81200000000000006</v>
      </c>
      <c r="AD88" s="21">
        <v>0.82</v>
      </c>
      <c r="AE88" s="21">
        <v>0.81599999999999995</v>
      </c>
      <c r="AF88" s="21">
        <v>0.81</v>
      </c>
      <c r="AG88" s="21">
        <v>0.81699999999999995</v>
      </c>
      <c r="AH88" s="21">
        <v>0.81599999999999995</v>
      </c>
      <c r="AI88" s="21">
        <v>0.81499999999999995</v>
      </c>
      <c r="AJ88" s="21">
        <v>0.79800000000000004</v>
      </c>
      <c r="AK88" s="21">
        <v>0.81699999999999995</v>
      </c>
      <c r="AL88" s="21">
        <v>0.80400000000000005</v>
      </c>
      <c r="AM88" s="21">
        <v>0.80100000000000005</v>
      </c>
      <c r="AN88" s="21">
        <v>0.80300000000000005</v>
      </c>
      <c r="AO88" s="21">
        <v>0.79</v>
      </c>
      <c r="AP88" s="21">
        <v>0.80900000000000005</v>
      </c>
      <c r="AQ88" s="21">
        <v>0.79800000000000004</v>
      </c>
      <c r="AR88" s="21">
        <v>0.8</v>
      </c>
      <c r="AS88" s="21">
        <v>0.81</v>
      </c>
      <c r="AT88" s="21">
        <v>0.8</v>
      </c>
      <c r="AU88" s="21">
        <v>0.78500000000000003</v>
      </c>
      <c r="AV88" s="21">
        <v>0.79300000000000004</v>
      </c>
      <c r="AW88" s="21">
        <v>0.80600000000000005</v>
      </c>
      <c r="AX88" s="21">
        <v>0.80800000000000005</v>
      </c>
      <c r="AY88" s="21">
        <v>0.79200000000000004</v>
      </c>
      <c r="AZ88" s="21">
        <v>0.79700000000000004</v>
      </c>
      <c r="BA88" s="21">
        <v>0.81200000000000006</v>
      </c>
      <c r="BB88" s="21">
        <v>0.78200000000000003</v>
      </c>
      <c r="BC88" s="21">
        <v>0.81</v>
      </c>
      <c r="BD88" s="21">
        <v>0.79900000000000004</v>
      </c>
      <c r="BE88" s="21">
        <v>0.8</v>
      </c>
      <c r="BF88" s="21">
        <v>0.80100000000000005</v>
      </c>
      <c r="BG88" s="21">
        <v>0.82699999999999996</v>
      </c>
      <c r="BH88" s="21">
        <v>0.79600000000000004</v>
      </c>
      <c r="BI88" s="21">
        <v>0.79200000000000004</v>
      </c>
      <c r="BJ88" s="21">
        <v>0.81399999999999995</v>
      </c>
      <c r="BK88" s="21">
        <v>0.80700000000000005</v>
      </c>
      <c r="BL88" s="21">
        <v>0.77600000000000002</v>
      </c>
      <c r="BM88" s="21"/>
      <c r="BN88" s="21"/>
      <c r="BO88" s="21"/>
      <c r="BP88" s="21"/>
    </row>
    <row r="89" spans="1:68" x14ac:dyDescent="0.25">
      <c r="A89" s="22" t="s">
        <v>253</v>
      </c>
      <c r="B89" s="15">
        <v>1</v>
      </c>
      <c r="C89" s="22" t="s">
        <v>253</v>
      </c>
      <c r="D89" s="23">
        <v>39.770000000000003</v>
      </c>
      <c r="E89" s="24">
        <v>0</v>
      </c>
      <c r="F89" s="23">
        <v>3.15</v>
      </c>
      <c r="G89" s="23">
        <v>30.06</v>
      </c>
      <c r="H89" s="25">
        <v>184.66</v>
      </c>
      <c r="I89" s="23">
        <v>248.89</v>
      </c>
      <c r="J89" s="26">
        <v>0.84019999999999995</v>
      </c>
      <c r="K89" s="24">
        <v>100856.93960106</v>
      </c>
      <c r="L89" s="24">
        <v>512</v>
      </c>
      <c r="M89" s="23">
        <v>3.6406999999999998</v>
      </c>
      <c r="N89" s="23">
        <v>9.16</v>
      </c>
      <c r="O89" s="23">
        <v>16.27</v>
      </c>
      <c r="P89" s="23">
        <v>52.88</v>
      </c>
      <c r="Q89" s="23">
        <v>63.01</v>
      </c>
      <c r="R89" s="26">
        <v>0.43910277777777801</v>
      </c>
      <c r="S89" s="26">
        <v>1.2793027777777799</v>
      </c>
      <c r="T89" s="24">
        <v>153564.681266564</v>
      </c>
      <c r="U89" s="23">
        <v>99.4</v>
      </c>
      <c r="V89" s="24">
        <v>2886</v>
      </c>
      <c r="W89" s="15"/>
      <c r="X89" s="27">
        <v>0.80200000000000005</v>
      </c>
      <c r="Y89" s="27">
        <v>0.83799999999999997</v>
      </c>
      <c r="Z89" s="27">
        <v>0.83</v>
      </c>
      <c r="AA89" s="27">
        <v>0.84899999999999998</v>
      </c>
      <c r="AB89" s="27">
        <v>0.81699999999999995</v>
      </c>
      <c r="AC89" s="27">
        <v>0.84699999999999998</v>
      </c>
      <c r="AD89" s="27">
        <v>0.85099999999999998</v>
      </c>
      <c r="AE89" s="27">
        <v>0.84599999999999997</v>
      </c>
      <c r="AF89" s="27">
        <v>0.83599999999999997</v>
      </c>
      <c r="AG89" s="27">
        <v>0.85099999999999998</v>
      </c>
      <c r="AH89" s="27">
        <v>0.84099999999999997</v>
      </c>
      <c r="AI89" s="27">
        <v>0.85099999999999998</v>
      </c>
      <c r="AJ89" s="27">
        <v>0.81</v>
      </c>
      <c r="AK89" s="27">
        <v>0.84099999999999997</v>
      </c>
      <c r="AL89" s="27">
        <v>0.85799999999999998</v>
      </c>
      <c r="AM89" s="27">
        <v>0.84099999999999997</v>
      </c>
      <c r="AN89" s="27">
        <v>0.83499999999999996</v>
      </c>
      <c r="AO89" s="27">
        <v>0.84199999999999997</v>
      </c>
      <c r="AP89" s="27">
        <v>0.82899999999999996</v>
      </c>
      <c r="AQ89" s="27">
        <v>0.85199999999999998</v>
      </c>
      <c r="AR89" s="27">
        <v>0.83899999999999997</v>
      </c>
      <c r="AS89" s="27">
        <v>0.83099999999999996</v>
      </c>
      <c r="AT89" s="27">
        <v>0.84099999999999997</v>
      </c>
      <c r="AU89" s="27">
        <v>0.84</v>
      </c>
      <c r="AV89" s="27">
        <v>0.85299999999999998</v>
      </c>
      <c r="AW89" s="27">
        <v>0.83699999999999997</v>
      </c>
      <c r="AX89" s="27">
        <v>0.84299999999999997</v>
      </c>
      <c r="AY89" s="27">
        <v>0.84799999999999998</v>
      </c>
      <c r="AZ89" s="27">
        <v>0.84599999999999997</v>
      </c>
      <c r="BA89" s="27">
        <v>0.82099999999999995</v>
      </c>
      <c r="BB89" s="27">
        <v>0.85599999999999998</v>
      </c>
      <c r="BC89" s="27">
        <v>0.84199999999999997</v>
      </c>
      <c r="BD89" s="27">
        <v>0.84399999999999997</v>
      </c>
      <c r="BE89" s="27">
        <v>0.83599999999999997</v>
      </c>
      <c r="BF89" s="27">
        <v>0.84599999999999997</v>
      </c>
      <c r="BG89" s="27">
        <v>0.85299999999999998</v>
      </c>
      <c r="BH89" s="27">
        <v>0.84499999999999997</v>
      </c>
      <c r="BI89" s="27">
        <v>0.82899999999999996</v>
      </c>
      <c r="BJ89" s="27">
        <v>0.85299999999999998</v>
      </c>
      <c r="BK89" s="27">
        <v>0.83599999999999997</v>
      </c>
      <c r="BL89" s="27">
        <v>0.77700000000000002</v>
      </c>
      <c r="BM89" s="27"/>
      <c r="BN89" s="27"/>
      <c r="BO89" s="27"/>
      <c r="BP89" s="27"/>
    </row>
    <row r="90" spans="1:68" x14ac:dyDescent="0.25">
      <c r="A90" s="22" t="s">
        <v>253</v>
      </c>
      <c r="B90" s="15">
        <v>2</v>
      </c>
      <c r="C90" s="22" t="s">
        <v>253</v>
      </c>
      <c r="D90" s="23">
        <v>39.81</v>
      </c>
      <c r="E90" s="24">
        <v>0</v>
      </c>
      <c r="F90" s="23">
        <v>3.1</v>
      </c>
      <c r="G90" s="23">
        <v>30.07</v>
      </c>
      <c r="H90" s="25">
        <v>185.39</v>
      </c>
      <c r="I90" s="23">
        <v>249.5</v>
      </c>
      <c r="J90" s="26">
        <v>0.83660833333333295</v>
      </c>
      <c r="K90" s="24">
        <v>100425.034157767</v>
      </c>
      <c r="L90" s="24">
        <v>512</v>
      </c>
      <c r="M90" s="23">
        <v>3.6734</v>
      </c>
      <c r="N90" s="23">
        <v>9.2200000000000006</v>
      </c>
      <c r="O90" s="23">
        <v>16.23</v>
      </c>
      <c r="P90" s="23">
        <v>52.89</v>
      </c>
      <c r="Q90" s="23">
        <v>63.01</v>
      </c>
      <c r="R90" s="26">
        <v>0.43876388888888901</v>
      </c>
      <c r="S90" s="26">
        <v>1.2753722222222199</v>
      </c>
      <c r="T90" s="24">
        <v>153092.79759083199</v>
      </c>
      <c r="U90" s="23">
        <v>99.5</v>
      </c>
      <c r="V90" s="24">
        <v>2889</v>
      </c>
      <c r="W90" s="15"/>
      <c r="X90" s="27">
        <v>0.80400000000000005</v>
      </c>
      <c r="Y90" s="27">
        <v>0.84299999999999997</v>
      </c>
      <c r="Z90" s="27">
        <v>0.82799999999999996</v>
      </c>
      <c r="AA90" s="27">
        <v>0.91</v>
      </c>
      <c r="AB90" s="27">
        <v>0.82799999999999996</v>
      </c>
      <c r="AC90" s="27">
        <v>0.84399999999999997</v>
      </c>
      <c r="AD90" s="27">
        <v>0.80800000000000005</v>
      </c>
      <c r="AE90" s="27">
        <v>0.85199999999999998</v>
      </c>
      <c r="AF90" s="27">
        <v>0.82799999999999996</v>
      </c>
      <c r="AG90" s="27">
        <v>0.84399999999999997</v>
      </c>
      <c r="AH90" s="27">
        <v>0.84399999999999997</v>
      </c>
      <c r="AI90" s="27">
        <v>0.84699999999999998</v>
      </c>
      <c r="AJ90" s="27">
        <v>0.84</v>
      </c>
      <c r="AK90" s="27">
        <v>0.84099999999999997</v>
      </c>
      <c r="AL90" s="27">
        <v>0.83699999999999997</v>
      </c>
      <c r="AM90" s="27">
        <v>0.84099999999999997</v>
      </c>
      <c r="AN90" s="27">
        <v>0.82599999999999996</v>
      </c>
      <c r="AO90" s="27">
        <v>0.83199999999999996</v>
      </c>
      <c r="AP90" s="27">
        <v>0.84499999999999997</v>
      </c>
      <c r="AQ90" s="27">
        <v>0.84</v>
      </c>
      <c r="AR90" s="27">
        <v>0.84499999999999997</v>
      </c>
      <c r="AS90" s="27">
        <v>0.83</v>
      </c>
      <c r="AT90" s="27">
        <v>0.83799999999999997</v>
      </c>
      <c r="AU90" s="27">
        <v>0.85399999999999998</v>
      </c>
      <c r="AV90" s="27">
        <v>0.82299999999999995</v>
      </c>
      <c r="AW90" s="27">
        <v>0.83399999999999996</v>
      </c>
      <c r="AX90" s="27">
        <v>0.83499999999999996</v>
      </c>
      <c r="AY90" s="27">
        <v>0.84199999999999997</v>
      </c>
      <c r="AZ90" s="27">
        <v>0.85599999999999998</v>
      </c>
      <c r="BA90" s="27">
        <v>0.82499999999999996</v>
      </c>
      <c r="BB90" s="27">
        <v>0.85399999999999998</v>
      </c>
      <c r="BC90" s="27">
        <v>0.85299999999999998</v>
      </c>
      <c r="BD90" s="27">
        <v>0.81399999999999995</v>
      </c>
      <c r="BE90" s="27">
        <v>0.84599999999999997</v>
      </c>
      <c r="BF90" s="27">
        <v>0.83099999999999996</v>
      </c>
      <c r="BG90" s="27">
        <v>0.83499999999999996</v>
      </c>
      <c r="BH90" s="27">
        <v>0.85199999999999998</v>
      </c>
      <c r="BI90" s="27">
        <v>0.83</v>
      </c>
      <c r="BJ90" s="27">
        <v>0.84099999999999997</v>
      </c>
      <c r="BK90" s="27">
        <v>0.84299999999999997</v>
      </c>
      <c r="BL90" s="27">
        <v>0.76900000000000002</v>
      </c>
      <c r="BM90" s="27"/>
      <c r="BN90" s="27"/>
      <c r="BO90" s="27"/>
      <c r="BP90" s="27"/>
    </row>
    <row r="91" spans="1:68" x14ac:dyDescent="0.25">
      <c r="A91" s="22" t="s">
        <v>253</v>
      </c>
      <c r="B91" s="15">
        <v>3</v>
      </c>
      <c r="C91" s="22" t="s">
        <v>253</v>
      </c>
      <c r="D91" s="23">
        <v>39.770000000000003</v>
      </c>
      <c r="E91" s="24">
        <v>0</v>
      </c>
      <c r="F91" s="23">
        <v>3.1</v>
      </c>
      <c r="G91" s="23">
        <v>29.83</v>
      </c>
      <c r="H91" s="25">
        <v>183.29</v>
      </c>
      <c r="I91" s="23">
        <v>248.75</v>
      </c>
      <c r="J91" s="26">
        <v>0.83555277777777803</v>
      </c>
      <c r="K91" s="24">
        <v>100312.873332217</v>
      </c>
      <c r="L91" s="24">
        <v>512</v>
      </c>
      <c r="M91" s="23">
        <v>3.6034999999999999</v>
      </c>
      <c r="N91" s="23">
        <v>9.2899999999999991</v>
      </c>
      <c r="O91" s="23">
        <v>16.39</v>
      </c>
      <c r="P91" s="23">
        <v>52.98</v>
      </c>
      <c r="Q91" s="23">
        <v>63.04</v>
      </c>
      <c r="R91" s="26">
        <v>0.439558333333333</v>
      </c>
      <c r="S91" s="26">
        <v>1.27511111111111</v>
      </c>
      <c r="T91" s="24">
        <v>153075.838776308</v>
      </c>
      <c r="U91" s="23">
        <v>99.6</v>
      </c>
      <c r="V91" s="24">
        <v>2891</v>
      </c>
      <c r="W91" s="15"/>
      <c r="X91" s="27">
        <v>0.81299999999999994</v>
      </c>
      <c r="Y91" s="27">
        <v>0.84299999999999997</v>
      </c>
      <c r="Z91" s="27">
        <v>0.82599999999999996</v>
      </c>
      <c r="AA91" s="27">
        <v>0.84</v>
      </c>
      <c r="AB91" s="27">
        <v>0.83399999999999996</v>
      </c>
      <c r="AC91" s="27">
        <v>0.83299999999999996</v>
      </c>
      <c r="AD91" s="27">
        <v>0.84699999999999998</v>
      </c>
      <c r="AE91" s="27">
        <v>0.82299999999999995</v>
      </c>
      <c r="AF91" s="27">
        <v>0.82099999999999995</v>
      </c>
      <c r="AG91" s="27">
        <v>0.84499999999999997</v>
      </c>
      <c r="AH91" s="27">
        <v>0.83699999999999997</v>
      </c>
      <c r="AI91" s="27">
        <v>0.85499999999999998</v>
      </c>
      <c r="AJ91" s="27">
        <v>0.83399999999999996</v>
      </c>
      <c r="AK91" s="27">
        <v>0.83299999999999996</v>
      </c>
      <c r="AL91" s="27">
        <v>0.86799999999999999</v>
      </c>
      <c r="AM91" s="27">
        <v>0.82899999999999996</v>
      </c>
      <c r="AN91" s="27">
        <v>0.83699999999999997</v>
      </c>
      <c r="AO91" s="27">
        <v>0.82</v>
      </c>
      <c r="AP91" s="27">
        <v>0.84</v>
      </c>
      <c r="AQ91" s="27">
        <v>0.85799999999999998</v>
      </c>
      <c r="AR91" s="27">
        <v>0.84099999999999997</v>
      </c>
      <c r="AS91" s="27">
        <v>0.84599999999999997</v>
      </c>
      <c r="AT91" s="27">
        <v>0.84699999999999998</v>
      </c>
      <c r="AU91" s="27">
        <v>0.83799999999999997</v>
      </c>
      <c r="AV91" s="27">
        <v>0.83699999999999997</v>
      </c>
      <c r="AW91" s="27">
        <v>0.83199999999999996</v>
      </c>
      <c r="AX91" s="27">
        <v>0.84299999999999997</v>
      </c>
      <c r="AY91" s="27">
        <v>0.82199999999999995</v>
      </c>
      <c r="AZ91" s="27">
        <v>0.84</v>
      </c>
      <c r="BA91" s="27">
        <v>0.83699999999999997</v>
      </c>
      <c r="BB91" s="27">
        <v>0.84799999999999998</v>
      </c>
      <c r="BC91" s="27">
        <v>0.83699999999999997</v>
      </c>
      <c r="BD91" s="27">
        <v>0.83899999999999997</v>
      </c>
      <c r="BE91" s="27">
        <v>0.83299999999999996</v>
      </c>
      <c r="BF91" s="27">
        <v>0.83799999999999997</v>
      </c>
      <c r="BG91" s="27">
        <v>0.86</v>
      </c>
      <c r="BH91" s="27">
        <v>0.80900000000000005</v>
      </c>
      <c r="BI91" s="27">
        <v>0.82099999999999995</v>
      </c>
      <c r="BJ91" s="27">
        <v>0.85599999999999998</v>
      </c>
      <c r="BK91" s="27">
        <v>0.82299999999999995</v>
      </c>
      <c r="BL91" s="27">
        <v>0.755</v>
      </c>
      <c r="BM91" s="27"/>
      <c r="BN91" s="27"/>
      <c r="BO91" s="27"/>
      <c r="BP91" s="27"/>
    </row>
    <row r="92" spans="1:68" x14ac:dyDescent="0.25">
      <c r="A92" s="16" t="s">
        <v>254</v>
      </c>
      <c r="B92" s="12">
        <v>1</v>
      </c>
      <c r="C92" s="16" t="s">
        <v>254</v>
      </c>
      <c r="D92" s="17">
        <v>39.81</v>
      </c>
      <c r="E92" s="18">
        <v>0</v>
      </c>
      <c r="F92" s="17">
        <v>2.87</v>
      </c>
      <c r="G92" s="17">
        <v>28.75</v>
      </c>
      <c r="H92" s="19">
        <v>185.38</v>
      </c>
      <c r="I92" s="17">
        <v>248.96</v>
      </c>
      <c r="J92" s="20">
        <v>0.81156111111111096</v>
      </c>
      <c r="K92" s="18">
        <v>97384.024919345902</v>
      </c>
      <c r="L92" s="18">
        <v>512</v>
      </c>
      <c r="M92" s="17">
        <v>3.2250000000000001</v>
      </c>
      <c r="N92" s="17">
        <v>10.17</v>
      </c>
      <c r="O92" s="17">
        <v>15.85</v>
      </c>
      <c r="P92" s="17">
        <v>50.59</v>
      </c>
      <c r="Q92" s="17">
        <v>62.8</v>
      </c>
      <c r="R92" s="20">
        <v>0.454277777777778</v>
      </c>
      <c r="S92" s="20">
        <v>1.2658388888888901</v>
      </c>
      <c r="T92" s="18">
        <v>151895.76148626101</v>
      </c>
      <c r="U92" s="17">
        <v>99.5</v>
      </c>
      <c r="V92" s="18">
        <v>2890</v>
      </c>
      <c r="W92" s="12"/>
      <c r="X92" s="21">
        <v>0.78200000000000003</v>
      </c>
      <c r="Y92" s="21">
        <v>0.80700000000000005</v>
      </c>
      <c r="Z92" s="21">
        <v>0.80700000000000005</v>
      </c>
      <c r="AA92" s="21">
        <v>0.78400000000000003</v>
      </c>
      <c r="AB92" s="21">
        <v>0.78300000000000003</v>
      </c>
      <c r="AC92" s="21">
        <v>0.79700000000000004</v>
      </c>
      <c r="AD92" s="21">
        <v>0.80300000000000005</v>
      </c>
      <c r="AE92" s="21">
        <v>0.79800000000000004</v>
      </c>
      <c r="AF92" s="21">
        <v>0.79400000000000004</v>
      </c>
      <c r="AG92" s="21">
        <v>0.80100000000000005</v>
      </c>
      <c r="AH92" s="21">
        <v>0.81699999999999995</v>
      </c>
      <c r="AI92" s="21">
        <v>0.80400000000000005</v>
      </c>
      <c r="AJ92" s="21">
        <v>0.80600000000000005</v>
      </c>
      <c r="AK92" s="21">
        <v>0.80600000000000005</v>
      </c>
      <c r="AL92" s="21">
        <v>0.80400000000000005</v>
      </c>
      <c r="AM92" s="21">
        <v>0.80900000000000005</v>
      </c>
      <c r="AN92" s="21">
        <v>0.81</v>
      </c>
      <c r="AO92" s="21">
        <v>0.82599999999999996</v>
      </c>
      <c r="AP92" s="21">
        <v>0.81299999999999994</v>
      </c>
      <c r="AQ92" s="21">
        <v>0.82299999999999995</v>
      </c>
      <c r="AR92" s="21">
        <v>0.80200000000000005</v>
      </c>
      <c r="AS92" s="21">
        <v>0.81</v>
      </c>
      <c r="AT92" s="21">
        <v>0.81499999999999995</v>
      </c>
      <c r="AU92" s="21">
        <v>0.81200000000000006</v>
      </c>
      <c r="AV92" s="21">
        <v>0.81399999999999995</v>
      </c>
      <c r="AW92" s="21">
        <v>0.81499999999999995</v>
      </c>
      <c r="AX92" s="21">
        <v>0.82199999999999995</v>
      </c>
      <c r="AY92" s="21">
        <v>0.81699999999999995</v>
      </c>
      <c r="AZ92" s="21">
        <v>0.81200000000000006</v>
      </c>
      <c r="BA92" s="21">
        <v>0.81699999999999995</v>
      </c>
      <c r="BB92" s="21">
        <v>0.81899999999999995</v>
      </c>
      <c r="BC92" s="21">
        <v>0.83</v>
      </c>
      <c r="BD92" s="21">
        <v>0.82</v>
      </c>
      <c r="BE92" s="21">
        <v>0.78600000000000003</v>
      </c>
      <c r="BF92" s="21">
        <v>0.81699999999999995</v>
      </c>
      <c r="BG92" s="21">
        <v>0.82199999999999995</v>
      </c>
      <c r="BH92" s="21">
        <v>0.81</v>
      </c>
      <c r="BI92" s="21">
        <v>0.81100000000000005</v>
      </c>
      <c r="BJ92" s="21">
        <v>0.80600000000000005</v>
      </c>
      <c r="BK92" s="21">
        <v>0.81</v>
      </c>
      <c r="BL92" s="21">
        <v>0.84</v>
      </c>
      <c r="BM92" s="21"/>
      <c r="BN92" s="21"/>
      <c r="BO92" s="21"/>
      <c r="BP92" s="21"/>
    </row>
    <row r="93" spans="1:68" x14ac:dyDescent="0.25">
      <c r="A93" s="16" t="s">
        <v>254</v>
      </c>
      <c r="B93" s="12">
        <v>2</v>
      </c>
      <c r="C93" s="16" t="s">
        <v>254</v>
      </c>
      <c r="D93" s="17">
        <v>39.78</v>
      </c>
      <c r="E93" s="18">
        <v>0</v>
      </c>
      <c r="F93" s="17">
        <v>2.75</v>
      </c>
      <c r="G93" s="17">
        <v>28.39</v>
      </c>
      <c r="H93" s="19">
        <v>184.85</v>
      </c>
      <c r="I93" s="17">
        <v>248.9</v>
      </c>
      <c r="J93" s="20">
        <v>0.79959166666666703</v>
      </c>
      <c r="K93" s="18">
        <v>95975.897907436796</v>
      </c>
      <c r="L93" s="18">
        <v>512</v>
      </c>
      <c r="M93" s="17">
        <v>3.1926999999999999</v>
      </c>
      <c r="N93" s="17">
        <v>10.220000000000001</v>
      </c>
      <c r="O93" s="17">
        <v>15.83</v>
      </c>
      <c r="P93" s="17">
        <v>50.42</v>
      </c>
      <c r="Q93" s="17">
        <v>62.75</v>
      </c>
      <c r="R93" s="20">
        <v>0.45845555555555501</v>
      </c>
      <c r="S93" s="20">
        <v>1.2580472222222201</v>
      </c>
      <c r="T93" s="18">
        <v>151005.93496614599</v>
      </c>
      <c r="U93" s="17">
        <v>99.4</v>
      </c>
      <c r="V93" s="18">
        <v>2887</v>
      </c>
      <c r="W93" s="12"/>
      <c r="X93" s="21">
        <v>0.78700000000000003</v>
      </c>
      <c r="Y93" s="21">
        <v>0.82599999999999996</v>
      </c>
      <c r="Z93" s="21">
        <v>0.82799999999999996</v>
      </c>
      <c r="AA93" s="21">
        <v>0.80400000000000005</v>
      </c>
      <c r="AB93" s="21">
        <v>0.79700000000000004</v>
      </c>
      <c r="AC93" s="21">
        <v>0.80300000000000005</v>
      </c>
      <c r="AD93" s="21">
        <v>0.81699999999999995</v>
      </c>
      <c r="AE93" s="21">
        <v>0.81499999999999995</v>
      </c>
      <c r="AF93" s="21">
        <v>0.78600000000000003</v>
      </c>
      <c r="AG93" s="21">
        <v>0.80700000000000005</v>
      </c>
      <c r="AH93" s="21">
        <v>0.80200000000000005</v>
      </c>
      <c r="AI93" s="21">
        <v>0.79600000000000004</v>
      </c>
      <c r="AJ93" s="21">
        <v>0.79500000000000004</v>
      </c>
      <c r="AK93" s="21">
        <v>0.81200000000000006</v>
      </c>
      <c r="AL93" s="21">
        <v>0.79900000000000004</v>
      </c>
      <c r="AM93" s="21">
        <v>0.78600000000000003</v>
      </c>
      <c r="AN93" s="21">
        <v>0.78700000000000003</v>
      </c>
      <c r="AO93" s="21">
        <v>0.81399999999999995</v>
      </c>
      <c r="AP93" s="21">
        <v>0.80800000000000005</v>
      </c>
      <c r="AQ93" s="21">
        <v>0.80700000000000005</v>
      </c>
      <c r="AR93" s="21">
        <v>0.78100000000000003</v>
      </c>
      <c r="AS93" s="21">
        <v>0.80700000000000005</v>
      </c>
      <c r="AT93" s="21">
        <v>0.81100000000000005</v>
      </c>
      <c r="AU93" s="21">
        <v>0.8</v>
      </c>
      <c r="AV93" s="21">
        <v>0.8</v>
      </c>
      <c r="AW93" s="21">
        <v>0.78800000000000003</v>
      </c>
      <c r="AX93" s="21">
        <v>0.80300000000000005</v>
      </c>
      <c r="AY93" s="21">
        <v>0.80300000000000005</v>
      </c>
      <c r="AZ93" s="21">
        <v>0.80600000000000005</v>
      </c>
      <c r="BA93" s="21">
        <v>0.79400000000000004</v>
      </c>
      <c r="BB93" s="21">
        <v>0.80400000000000005</v>
      </c>
      <c r="BC93" s="21">
        <v>0.80800000000000005</v>
      </c>
      <c r="BD93" s="21">
        <v>0.79900000000000004</v>
      </c>
      <c r="BE93" s="21">
        <v>0.80300000000000005</v>
      </c>
      <c r="BF93" s="21">
        <v>0.80900000000000005</v>
      </c>
      <c r="BG93" s="21">
        <v>0.8</v>
      </c>
      <c r="BH93" s="21">
        <v>0.80700000000000005</v>
      </c>
      <c r="BI93" s="21">
        <v>0.79600000000000004</v>
      </c>
      <c r="BJ93" s="21">
        <v>0.80400000000000005</v>
      </c>
      <c r="BK93" s="21">
        <v>0.79800000000000004</v>
      </c>
      <c r="BL93" s="21">
        <v>0.73199999999999998</v>
      </c>
      <c r="BM93" s="21"/>
      <c r="BN93" s="21"/>
      <c r="BO93" s="21"/>
      <c r="BP93" s="21"/>
    </row>
    <row r="94" spans="1:68" x14ac:dyDescent="0.25">
      <c r="A94" s="16" t="s">
        <v>254</v>
      </c>
      <c r="B94" s="12">
        <v>3</v>
      </c>
      <c r="C94" s="16" t="s">
        <v>254</v>
      </c>
      <c r="D94" s="17">
        <v>39.78</v>
      </c>
      <c r="E94" s="18">
        <v>0</v>
      </c>
      <c r="F94" s="17">
        <v>2.66</v>
      </c>
      <c r="G94" s="17">
        <v>28.07</v>
      </c>
      <c r="H94" s="19">
        <v>184.68</v>
      </c>
      <c r="I94" s="17">
        <v>248.91</v>
      </c>
      <c r="J94" s="20">
        <v>0.79930833333333295</v>
      </c>
      <c r="K94" s="18">
        <v>95928.227132150103</v>
      </c>
      <c r="L94" s="18">
        <v>512</v>
      </c>
      <c r="M94" s="17">
        <v>3.1833999999999998</v>
      </c>
      <c r="N94" s="17">
        <v>10.32</v>
      </c>
      <c r="O94" s="17">
        <v>15.83</v>
      </c>
      <c r="P94" s="17">
        <v>49.85</v>
      </c>
      <c r="Q94" s="17">
        <v>62.64</v>
      </c>
      <c r="R94" s="20">
        <v>0.460336111111111</v>
      </c>
      <c r="S94" s="20">
        <v>1.2596444444444399</v>
      </c>
      <c r="T94" s="18">
        <v>151178.34554623699</v>
      </c>
      <c r="U94" s="17">
        <v>99.5</v>
      </c>
      <c r="V94" s="18">
        <v>2889</v>
      </c>
      <c r="W94" s="12"/>
      <c r="X94" s="21">
        <v>0.78400000000000003</v>
      </c>
      <c r="Y94" s="21">
        <v>0.81</v>
      </c>
      <c r="Z94" s="21">
        <v>0.80800000000000005</v>
      </c>
      <c r="AA94" s="21">
        <v>0.80100000000000005</v>
      </c>
      <c r="AB94" s="21">
        <v>0.80300000000000005</v>
      </c>
      <c r="AC94" s="21">
        <v>0.80400000000000005</v>
      </c>
      <c r="AD94" s="21">
        <v>0.81399999999999995</v>
      </c>
      <c r="AE94" s="21">
        <v>0.80600000000000005</v>
      </c>
      <c r="AF94" s="21">
        <v>0.79</v>
      </c>
      <c r="AG94" s="21">
        <v>0.81</v>
      </c>
      <c r="AH94" s="21">
        <v>0.80300000000000005</v>
      </c>
      <c r="AI94" s="21">
        <v>0.80400000000000005</v>
      </c>
      <c r="AJ94" s="21">
        <v>0.76200000000000001</v>
      </c>
      <c r="AK94" s="21">
        <v>0.80600000000000005</v>
      </c>
      <c r="AL94" s="21">
        <v>0.80800000000000005</v>
      </c>
      <c r="AM94" s="21">
        <v>0.81200000000000006</v>
      </c>
      <c r="AN94" s="21">
        <v>0.80100000000000005</v>
      </c>
      <c r="AO94" s="21">
        <v>0.81</v>
      </c>
      <c r="AP94" s="21">
        <v>0.79200000000000004</v>
      </c>
      <c r="AQ94" s="21">
        <v>0.82499999999999996</v>
      </c>
      <c r="AR94" s="21">
        <v>0.79500000000000004</v>
      </c>
      <c r="AS94" s="21">
        <v>0.80700000000000005</v>
      </c>
      <c r="AT94" s="21">
        <v>0.80500000000000005</v>
      </c>
      <c r="AU94" s="21">
        <v>0.79100000000000004</v>
      </c>
      <c r="AV94" s="21">
        <v>0.80600000000000005</v>
      </c>
      <c r="AW94" s="21">
        <v>0.80200000000000005</v>
      </c>
      <c r="AX94" s="21">
        <v>0.80500000000000005</v>
      </c>
      <c r="AY94" s="21">
        <v>0.8</v>
      </c>
      <c r="AZ94" s="21">
        <v>0.76100000000000001</v>
      </c>
      <c r="BA94" s="21">
        <v>0.79500000000000004</v>
      </c>
      <c r="BB94" s="21">
        <v>0.81299999999999994</v>
      </c>
      <c r="BC94" s="21">
        <v>0.79400000000000004</v>
      </c>
      <c r="BD94" s="21">
        <v>0.81599999999999995</v>
      </c>
      <c r="BE94" s="21">
        <v>0.77500000000000002</v>
      </c>
      <c r="BF94" s="21">
        <v>0.79100000000000004</v>
      </c>
      <c r="BG94" s="21">
        <v>0.82</v>
      </c>
      <c r="BH94" s="21">
        <v>0.79900000000000004</v>
      </c>
      <c r="BI94" s="21">
        <v>0.79900000000000004</v>
      </c>
      <c r="BJ94" s="21">
        <v>0.77900000000000003</v>
      </c>
      <c r="BK94" s="21">
        <v>0.80500000000000005</v>
      </c>
      <c r="BL94" s="21">
        <v>0.76700000000000002</v>
      </c>
      <c r="BM94" s="21"/>
      <c r="BN94" s="21"/>
      <c r="BO94" s="21"/>
      <c r="BP94" s="21"/>
    </row>
    <row r="95" spans="1:68" x14ac:dyDescent="0.25">
      <c r="A95" s="22" t="s">
        <v>255</v>
      </c>
      <c r="B95" s="15">
        <v>1</v>
      </c>
      <c r="C95" s="22" t="s">
        <v>255</v>
      </c>
      <c r="D95" s="23">
        <v>39.81</v>
      </c>
      <c r="E95" s="24">
        <v>0</v>
      </c>
      <c r="F95" s="23">
        <v>3.09</v>
      </c>
      <c r="G95" s="23">
        <v>28.77</v>
      </c>
      <c r="H95" s="25">
        <v>185.92</v>
      </c>
      <c r="I95" s="23">
        <v>249.05</v>
      </c>
      <c r="J95" s="26">
        <v>0.78412972972973005</v>
      </c>
      <c r="K95" s="24">
        <v>96615.179686415999</v>
      </c>
      <c r="L95" s="24">
        <v>512</v>
      </c>
      <c r="M95" s="23">
        <v>3.2092999999999998</v>
      </c>
      <c r="N95" s="23">
        <v>10.14</v>
      </c>
      <c r="O95" s="23">
        <v>15.86</v>
      </c>
      <c r="P95" s="23">
        <v>51.11</v>
      </c>
      <c r="Q95" s="23">
        <v>62.81</v>
      </c>
      <c r="R95" s="26">
        <v>0.43946486486486502</v>
      </c>
      <c r="S95" s="26">
        <v>1.2235945945946001</v>
      </c>
      <c r="T95" s="24">
        <v>150763.53545164401</v>
      </c>
      <c r="U95" s="23">
        <v>99.4</v>
      </c>
      <c r="V95" s="24">
        <v>2887</v>
      </c>
      <c r="W95" s="15"/>
      <c r="X95" s="27">
        <v>0.79</v>
      </c>
      <c r="Y95" s="27">
        <v>0.80800000000000005</v>
      </c>
      <c r="Z95" s="27">
        <v>0.82199999999999995</v>
      </c>
      <c r="AA95" s="27">
        <v>0.81100000000000005</v>
      </c>
      <c r="AB95" s="27">
        <v>0.80700000000000005</v>
      </c>
      <c r="AC95" s="27">
        <v>0.82299999999999995</v>
      </c>
      <c r="AD95" s="27">
        <v>0.82399999999999995</v>
      </c>
      <c r="AE95" s="27">
        <v>0.80800000000000005</v>
      </c>
      <c r="AF95" s="27">
        <v>0.80800000000000005</v>
      </c>
      <c r="AG95" s="27">
        <v>0.81200000000000006</v>
      </c>
      <c r="AH95" s="27">
        <v>0.81100000000000005</v>
      </c>
      <c r="AI95" s="27">
        <v>0.82199999999999995</v>
      </c>
      <c r="AJ95" s="27">
        <v>0.8</v>
      </c>
      <c r="AK95" s="27">
        <v>0.81499999999999995</v>
      </c>
      <c r="AL95" s="27">
        <v>0.81</v>
      </c>
      <c r="AM95" s="27">
        <v>0.81200000000000006</v>
      </c>
      <c r="AN95" s="27">
        <v>0.80200000000000005</v>
      </c>
      <c r="AO95" s="27">
        <v>0.81399999999999995</v>
      </c>
      <c r="AP95" s="27">
        <v>0.81200000000000006</v>
      </c>
      <c r="AQ95" s="27">
        <v>0.81200000000000006</v>
      </c>
      <c r="AR95" s="27">
        <v>0.78300000000000003</v>
      </c>
      <c r="AS95" s="27">
        <v>0.78500000000000003</v>
      </c>
      <c r="AT95" s="27">
        <v>0.82099999999999995</v>
      </c>
      <c r="AU95" s="27">
        <v>0.80600000000000005</v>
      </c>
      <c r="AV95" s="27">
        <v>0.79500000000000004</v>
      </c>
      <c r="AW95" s="27">
        <v>0.81599999999999995</v>
      </c>
      <c r="AX95" s="27">
        <v>0.80800000000000005</v>
      </c>
      <c r="AY95" s="27">
        <v>0.81100000000000005</v>
      </c>
      <c r="AZ95" s="27">
        <v>0.80100000000000005</v>
      </c>
      <c r="BA95" s="27">
        <v>0.81899999999999995</v>
      </c>
      <c r="BB95" s="27">
        <v>0.79200000000000004</v>
      </c>
      <c r="BC95" s="27">
        <v>0.80600000000000005</v>
      </c>
      <c r="BD95" s="27">
        <v>0.80800000000000005</v>
      </c>
      <c r="BE95" s="27">
        <v>0.80600000000000005</v>
      </c>
      <c r="BF95" s="27">
        <v>0.80700000000000005</v>
      </c>
      <c r="BG95" s="27">
        <v>0.81200000000000006</v>
      </c>
      <c r="BH95" s="27">
        <v>0.81399999999999995</v>
      </c>
      <c r="BI95" s="27">
        <v>0.79200000000000004</v>
      </c>
      <c r="BJ95" s="27">
        <v>0.81299999999999994</v>
      </c>
      <c r="BK95" s="27">
        <v>0.81200000000000006</v>
      </c>
      <c r="BL95" s="27">
        <v>0.72199999999999998</v>
      </c>
      <c r="BM95" s="27">
        <v>0</v>
      </c>
      <c r="BN95" s="27"/>
      <c r="BO95" s="27"/>
      <c r="BP95" s="27"/>
    </row>
    <row r="96" spans="1:68" x14ac:dyDescent="0.25">
      <c r="A96" s="22" t="s">
        <v>255</v>
      </c>
      <c r="B96" s="15">
        <v>2</v>
      </c>
      <c r="C96" s="22" t="s">
        <v>255</v>
      </c>
      <c r="D96" s="23">
        <v>39.78</v>
      </c>
      <c r="E96" s="24">
        <v>0</v>
      </c>
      <c r="F96" s="23">
        <v>3.09</v>
      </c>
      <c r="G96" s="23">
        <v>28.57</v>
      </c>
      <c r="H96" s="25">
        <v>186.01</v>
      </c>
      <c r="I96" s="23">
        <v>249.02</v>
      </c>
      <c r="J96" s="26">
        <v>0.80507499999999999</v>
      </c>
      <c r="K96" s="24">
        <v>96614.004339843101</v>
      </c>
      <c r="L96" s="24">
        <v>512</v>
      </c>
      <c r="M96" s="23">
        <v>3.1823999999999999</v>
      </c>
      <c r="N96" s="23">
        <v>10.19</v>
      </c>
      <c r="O96" s="23">
        <v>15.87</v>
      </c>
      <c r="P96" s="23">
        <v>51.09</v>
      </c>
      <c r="Q96" s="23">
        <v>62.8</v>
      </c>
      <c r="R96" s="26">
        <v>0.4511</v>
      </c>
      <c r="S96" s="26">
        <v>1.256175</v>
      </c>
      <c r="T96" s="24">
        <v>150750.73721693701</v>
      </c>
      <c r="U96" s="23">
        <v>99.5</v>
      </c>
      <c r="V96" s="24">
        <v>2889</v>
      </c>
      <c r="W96" s="15"/>
      <c r="X96" s="27">
        <v>0.78</v>
      </c>
      <c r="Y96" s="27">
        <v>0.81200000000000006</v>
      </c>
      <c r="Z96" s="27">
        <v>0.80800000000000005</v>
      </c>
      <c r="AA96" s="27">
        <v>0.80200000000000005</v>
      </c>
      <c r="AB96" s="27">
        <v>0.79700000000000004</v>
      </c>
      <c r="AC96" s="27">
        <v>0.81599999999999995</v>
      </c>
      <c r="AD96" s="27">
        <v>0.81399999999999995</v>
      </c>
      <c r="AE96" s="27">
        <v>0.80800000000000005</v>
      </c>
      <c r="AF96" s="27">
        <v>0.79900000000000004</v>
      </c>
      <c r="AG96" s="27">
        <v>0.81399999999999995</v>
      </c>
      <c r="AH96" s="27">
        <v>0.81799999999999995</v>
      </c>
      <c r="AI96" s="27">
        <v>0.81799999999999995</v>
      </c>
      <c r="AJ96" s="27">
        <v>0.80100000000000005</v>
      </c>
      <c r="AK96" s="27">
        <v>0.79700000000000004</v>
      </c>
      <c r="AL96" s="27">
        <v>0.80300000000000005</v>
      </c>
      <c r="AM96" s="27">
        <v>0.78100000000000003</v>
      </c>
      <c r="AN96" s="27">
        <v>0.79300000000000004</v>
      </c>
      <c r="AO96" s="27">
        <v>0.80700000000000005</v>
      </c>
      <c r="AP96" s="27">
        <v>0.81</v>
      </c>
      <c r="AQ96" s="27">
        <v>0.80700000000000005</v>
      </c>
      <c r="AR96" s="27">
        <v>0.75900000000000001</v>
      </c>
      <c r="AS96" s="27">
        <v>0.81599999999999995</v>
      </c>
      <c r="AT96" s="27">
        <v>0.81599999999999995</v>
      </c>
      <c r="AU96" s="27">
        <v>0.80700000000000005</v>
      </c>
      <c r="AV96" s="27">
        <v>0.77500000000000002</v>
      </c>
      <c r="AW96" s="27">
        <v>0.81899999999999995</v>
      </c>
      <c r="AX96" s="27">
        <v>0.81200000000000006</v>
      </c>
      <c r="AY96" s="27">
        <v>0.79300000000000004</v>
      </c>
      <c r="AZ96" s="27">
        <v>0.81100000000000005</v>
      </c>
      <c r="BA96" s="27">
        <v>0.80600000000000005</v>
      </c>
      <c r="BB96" s="27">
        <v>0.81</v>
      </c>
      <c r="BC96" s="27">
        <v>0.82799999999999996</v>
      </c>
      <c r="BD96" s="27">
        <v>0.81299999999999994</v>
      </c>
      <c r="BE96" s="27">
        <v>0.79400000000000004</v>
      </c>
      <c r="BF96" s="27">
        <v>0.81100000000000005</v>
      </c>
      <c r="BG96" s="27">
        <v>0.81799999999999995</v>
      </c>
      <c r="BH96" s="27">
        <v>0.81799999999999995</v>
      </c>
      <c r="BI96" s="27">
        <v>0.81</v>
      </c>
      <c r="BJ96" s="27">
        <v>0.80800000000000005</v>
      </c>
      <c r="BK96" s="27">
        <v>0.79800000000000004</v>
      </c>
      <c r="BL96" s="27">
        <v>0.77500000000000002</v>
      </c>
      <c r="BM96" s="27"/>
      <c r="BN96" s="27"/>
      <c r="BO96" s="27"/>
      <c r="BP96" s="27"/>
    </row>
    <row r="97" spans="1:68" x14ac:dyDescent="0.25">
      <c r="A97" s="22" t="s">
        <v>255</v>
      </c>
      <c r="B97" s="15">
        <v>3</v>
      </c>
      <c r="C97" s="22" t="s">
        <v>255</v>
      </c>
      <c r="D97" s="23">
        <v>45.02</v>
      </c>
      <c r="E97" s="24">
        <v>0</v>
      </c>
      <c r="F97" s="23">
        <v>2.95</v>
      </c>
      <c r="G97" s="23">
        <v>28.74</v>
      </c>
      <c r="H97" s="25">
        <v>186.81</v>
      </c>
      <c r="I97" s="23">
        <v>249.1</v>
      </c>
      <c r="J97" s="26">
        <v>0.80166666666666697</v>
      </c>
      <c r="K97" s="24">
        <v>96696.910916056499</v>
      </c>
      <c r="L97" s="24">
        <v>512</v>
      </c>
      <c r="M97" s="23">
        <v>3.2216</v>
      </c>
      <c r="N97" s="23">
        <v>10.17</v>
      </c>
      <c r="O97" s="23">
        <v>15.87</v>
      </c>
      <c r="P97" s="23">
        <v>51.13</v>
      </c>
      <c r="Q97" s="23">
        <v>62.8</v>
      </c>
      <c r="R97" s="26">
        <v>0.44878809523809499</v>
      </c>
      <c r="S97" s="26">
        <v>1.2504547619047599</v>
      </c>
      <c r="T97" s="24">
        <v>150832.28262450901</v>
      </c>
      <c r="U97" s="23">
        <v>99.7</v>
      </c>
      <c r="V97" s="24">
        <v>2894</v>
      </c>
      <c r="W97" s="15"/>
      <c r="X97" s="27">
        <v>0.77500000000000002</v>
      </c>
      <c r="Y97" s="27">
        <v>0.81200000000000006</v>
      </c>
      <c r="Z97" s="27">
        <v>0.81399999999999995</v>
      </c>
      <c r="AA97" s="27">
        <v>0.80700000000000005</v>
      </c>
      <c r="AB97" s="27">
        <v>0.81</v>
      </c>
      <c r="AC97" s="27">
        <v>0.80900000000000005</v>
      </c>
      <c r="AD97" s="27">
        <v>0.82</v>
      </c>
      <c r="AE97" s="27">
        <v>0.80100000000000005</v>
      </c>
      <c r="AF97" s="27">
        <v>0.81299999999999994</v>
      </c>
      <c r="AG97" s="27">
        <v>0.82099999999999995</v>
      </c>
      <c r="AH97" s="27">
        <v>0.80700000000000005</v>
      </c>
      <c r="AI97" s="27">
        <v>0.80200000000000005</v>
      </c>
      <c r="AJ97" s="27">
        <v>0.80200000000000005</v>
      </c>
      <c r="AK97" s="27">
        <v>0.79900000000000004</v>
      </c>
      <c r="AL97" s="27">
        <v>0.81399999999999995</v>
      </c>
      <c r="AM97" s="27">
        <v>0.78400000000000003</v>
      </c>
      <c r="AN97" s="27">
        <v>0.80500000000000005</v>
      </c>
      <c r="AO97" s="27">
        <v>0.80200000000000005</v>
      </c>
      <c r="AP97" s="27">
        <v>0.80500000000000005</v>
      </c>
      <c r="AQ97" s="27">
        <v>0.79900000000000004</v>
      </c>
      <c r="AR97" s="27">
        <v>0.80200000000000005</v>
      </c>
      <c r="AS97" s="27">
        <v>0.81200000000000006</v>
      </c>
      <c r="AT97" s="27">
        <v>0.82099999999999995</v>
      </c>
      <c r="AU97" s="27">
        <v>0.82099999999999995</v>
      </c>
      <c r="AV97" s="27">
        <v>0.80800000000000005</v>
      </c>
      <c r="AW97" s="27">
        <v>0.77100000000000002</v>
      </c>
      <c r="AX97" s="27">
        <v>0.80700000000000005</v>
      </c>
      <c r="AY97" s="27">
        <v>0.81399999999999995</v>
      </c>
      <c r="AZ97" s="27">
        <v>0.78400000000000003</v>
      </c>
      <c r="BA97" s="27">
        <v>0.80200000000000005</v>
      </c>
      <c r="BB97" s="27">
        <v>0.82499999999999996</v>
      </c>
      <c r="BC97" s="27">
        <v>0.81399999999999995</v>
      </c>
      <c r="BD97" s="27">
        <v>0.81599999999999995</v>
      </c>
      <c r="BE97" s="27">
        <v>0.80300000000000005</v>
      </c>
      <c r="BF97" s="27">
        <v>0.82399999999999995</v>
      </c>
      <c r="BG97" s="27">
        <v>0.81</v>
      </c>
      <c r="BH97" s="27">
        <v>0.82399999999999995</v>
      </c>
      <c r="BI97" s="27">
        <v>0.80500000000000005</v>
      </c>
      <c r="BJ97" s="27">
        <v>0.81599999999999995</v>
      </c>
      <c r="BK97" s="27">
        <v>0.80900000000000005</v>
      </c>
      <c r="BL97" s="27">
        <v>0.80800000000000005</v>
      </c>
      <c r="BM97" s="27">
        <v>0.80400000000000005</v>
      </c>
      <c r="BN97" s="27">
        <v>0.80500000000000005</v>
      </c>
      <c r="BO97" s="27">
        <v>0.81299999999999994</v>
      </c>
      <c r="BP97" s="27">
        <v>0.79900000000000004</v>
      </c>
    </row>
    <row r="98" spans="1:68" x14ac:dyDescent="0.25">
      <c r="A98" s="16" t="s">
        <v>256</v>
      </c>
      <c r="B98" s="12">
        <v>1</v>
      </c>
      <c r="C98" s="16" t="s">
        <v>256</v>
      </c>
      <c r="D98" s="17">
        <v>39.85</v>
      </c>
      <c r="E98" s="18">
        <v>0</v>
      </c>
      <c r="F98" s="17">
        <v>1.99</v>
      </c>
      <c r="G98" s="17">
        <v>28.07</v>
      </c>
      <c r="H98" s="19">
        <v>183.19</v>
      </c>
      <c r="I98" s="17">
        <v>248.76</v>
      </c>
      <c r="J98" s="20">
        <v>0.797389189189189</v>
      </c>
      <c r="K98" s="18">
        <v>98291.512812682195</v>
      </c>
      <c r="L98" s="18">
        <v>512</v>
      </c>
      <c r="M98" s="17">
        <v>3.0274000000000001</v>
      </c>
      <c r="N98" s="17">
        <v>9.39</v>
      </c>
      <c r="O98" s="17">
        <v>15.72</v>
      </c>
      <c r="P98" s="17">
        <v>49.7</v>
      </c>
      <c r="Q98" s="17">
        <v>62.67</v>
      </c>
      <c r="R98" s="20">
        <v>0.45203513513513499</v>
      </c>
      <c r="S98" s="20">
        <v>1.2494243243243199</v>
      </c>
      <c r="T98" s="18">
        <v>154013.548405009</v>
      </c>
      <c r="U98" s="17">
        <v>99.5</v>
      </c>
      <c r="V98" s="18">
        <v>2889</v>
      </c>
      <c r="W98" s="12"/>
      <c r="X98" s="21">
        <v>0.79</v>
      </c>
      <c r="Y98" s="21">
        <v>0.80900000000000005</v>
      </c>
      <c r="Z98" s="21">
        <v>0.81799999999999995</v>
      </c>
      <c r="AA98" s="21">
        <v>0.81499999999999995</v>
      </c>
      <c r="AB98" s="21">
        <v>0.79500000000000004</v>
      </c>
      <c r="AC98" s="21">
        <v>0.81100000000000005</v>
      </c>
      <c r="AD98" s="21">
        <v>0.80900000000000005</v>
      </c>
      <c r="AE98" s="21">
        <v>0.81399999999999995</v>
      </c>
      <c r="AF98" s="21">
        <v>0.79600000000000004</v>
      </c>
      <c r="AG98" s="21">
        <v>0.81</v>
      </c>
      <c r="AH98" s="21">
        <v>0.81899999999999995</v>
      </c>
      <c r="AI98" s="21">
        <v>0.81899999999999995</v>
      </c>
      <c r="AJ98" s="21">
        <v>0.80400000000000005</v>
      </c>
      <c r="AK98" s="21">
        <v>0.80300000000000005</v>
      </c>
      <c r="AL98" s="21">
        <v>0.81200000000000006</v>
      </c>
      <c r="AM98" s="21">
        <v>0.80600000000000005</v>
      </c>
      <c r="AN98" s="21">
        <v>0.79600000000000004</v>
      </c>
      <c r="AO98" s="21">
        <v>0.81599999999999995</v>
      </c>
      <c r="AP98" s="21">
        <v>0.80700000000000005</v>
      </c>
      <c r="AQ98" s="21">
        <v>0.80800000000000005</v>
      </c>
      <c r="AR98" s="21">
        <v>0.79800000000000004</v>
      </c>
      <c r="AS98" s="21">
        <v>0.80400000000000005</v>
      </c>
      <c r="AT98" s="21">
        <v>0.89</v>
      </c>
      <c r="AU98" s="21">
        <v>0.89100000000000001</v>
      </c>
      <c r="AV98" s="21">
        <v>0.88500000000000001</v>
      </c>
      <c r="AW98" s="21">
        <v>0.88900000000000001</v>
      </c>
      <c r="AX98" s="21">
        <v>0.88600000000000001</v>
      </c>
      <c r="AY98" s="21">
        <v>0.82</v>
      </c>
      <c r="AZ98" s="21">
        <v>0.78900000000000003</v>
      </c>
      <c r="BA98" s="21">
        <v>0.81499999999999995</v>
      </c>
      <c r="BB98" s="21">
        <v>0.81399999999999995</v>
      </c>
      <c r="BC98" s="21">
        <v>0.82499999999999996</v>
      </c>
      <c r="BD98" s="21">
        <v>0.80300000000000005</v>
      </c>
      <c r="BE98" s="21">
        <v>0.82399999999999995</v>
      </c>
      <c r="BF98" s="21">
        <v>0.81899999999999995</v>
      </c>
      <c r="BG98" s="21">
        <v>0.81499999999999995</v>
      </c>
      <c r="BH98" s="21">
        <v>0.80700000000000005</v>
      </c>
      <c r="BI98" s="21">
        <v>0.80300000000000005</v>
      </c>
      <c r="BJ98" s="21">
        <v>0.80300000000000005</v>
      </c>
      <c r="BK98" s="21">
        <v>0.81</v>
      </c>
      <c r="BL98" s="21">
        <v>0.78300000000000003</v>
      </c>
      <c r="BM98" s="21">
        <v>0</v>
      </c>
      <c r="BN98" s="21"/>
      <c r="BO98" s="21"/>
      <c r="BP98" s="21"/>
    </row>
    <row r="99" spans="1:68" x14ac:dyDescent="0.25">
      <c r="A99" s="16" t="s">
        <v>256</v>
      </c>
      <c r="B99" s="12">
        <v>2</v>
      </c>
      <c r="C99" s="16" t="s">
        <v>256</v>
      </c>
      <c r="D99" s="17">
        <v>39.770000000000003</v>
      </c>
      <c r="E99" s="18">
        <v>0</v>
      </c>
      <c r="F99" s="17">
        <v>3.04</v>
      </c>
      <c r="G99" s="17">
        <v>28.68</v>
      </c>
      <c r="H99" s="19">
        <v>187.44</v>
      </c>
      <c r="I99" s="17">
        <v>249.14</v>
      </c>
      <c r="J99" s="20">
        <v>0.805738888888889</v>
      </c>
      <c r="K99" s="18">
        <v>96711.803525185896</v>
      </c>
      <c r="L99" s="18">
        <v>256</v>
      </c>
      <c r="M99" s="17">
        <v>3.2086999999999999</v>
      </c>
      <c r="N99" s="17">
        <v>10.17</v>
      </c>
      <c r="O99" s="17">
        <v>15.88</v>
      </c>
      <c r="P99" s="17">
        <v>51.02</v>
      </c>
      <c r="Q99" s="17">
        <v>62.81</v>
      </c>
      <c r="R99" s="20">
        <v>0.45105277777777802</v>
      </c>
      <c r="S99" s="20">
        <v>1.2567916666666701</v>
      </c>
      <c r="T99" s="18">
        <v>150850.36059365701</v>
      </c>
      <c r="U99" s="17">
        <v>99.4</v>
      </c>
      <c r="V99" s="18">
        <v>2888</v>
      </c>
      <c r="W99" s="12"/>
      <c r="X99" s="21">
        <v>0.77700000000000002</v>
      </c>
      <c r="Y99" s="21">
        <v>0.81699999999999995</v>
      </c>
      <c r="Z99" s="21">
        <v>0.81100000000000005</v>
      </c>
      <c r="AA99" s="21">
        <v>0.79800000000000004</v>
      </c>
      <c r="AB99" s="21">
        <v>0.80400000000000005</v>
      </c>
      <c r="AC99" s="21">
        <v>0.82499999999999996</v>
      </c>
      <c r="AD99" s="21">
        <v>0.81299999999999994</v>
      </c>
      <c r="AE99" s="21">
        <v>0.81899999999999995</v>
      </c>
      <c r="AF99" s="21">
        <v>0.80200000000000005</v>
      </c>
      <c r="AG99" s="21">
        <v>0.80500000000000005</v>
      </c>
      <c r="AH99" s="21">
        <v>0.80100000000000005</v>
      </c>
      <c r="AI99" s="21">
        <v>0.81599999999999995</v>
      </c>
      <c r="AJ99" s="21">
        <v>0.79700000000000004</v>
      </c>
      <c r="AK99" s="21">
        <v>0.82099999999999995</v>
      </c>
      <c r="AL99" s="21">
        <v>0.81499999999999995</v>
      </c>
      <c r="AM99" s="21">
        <v>0.80800000000000005</v>
      </c>
      <c r="AN99" s="21">
        <v>0.78500000000000003</v>
      </c>
      <c r="AO99" s="21">
        <v>0.80400000000000005</v>
      </c>
      <c r="AP99" s="21">
        <v>0.81899999999999995</v>
      </c>
      <c r="AQ99" s="21">
        <v>0.81899999999999995</v>
      </c>
      <c r="AR99" s="21">
        <v>0.78100000000000003</v>
      </c>
      <c r="AS99" s="21">
        <v>0.82099999999999995</v>
      </c>
      <c r="AT99" s="21">
        <v>0.80800000000000005</v>
      </c>
      <c r="AU99" s="21">
        <v>0.80200000000000005</v>
      </c>
      <c r="AV99" s="21">
        <v>0.81100000000000005</v>
      </c>
      <c r="AW99" s="21">
        <v>0.80800000000000005</v>
      </c>
      <c r="AX99" s="21">
        <v>0.80600000000000005</v>
      </c>
      <c r="AY99" s="21">
        <v>0.80600000000000005</v>
      </c>
      <c r="AZ99" s="21">
        <v>0.82</v>
      </c>
      <c r="BA99" s="21">
        <v>0.79</v>
      </c>
      <c r="BB99" s="21">
        <v>0.79400000000000004</v>
      </c>
      <c r="BC99" s="21">
        <v>0.82</v>
      </c>
      <c r="BD99" s="21">
        <v>0.80400000000000005</v>
      </c>
      <c r="BE99" s="21">
        <v>0.80400000000000005</v>
      </c>
      <c r="BF99" s="21">
        <v>0.81599999999999995</v>
      </c>
      <c r="BG99" s="21">
        <v>0.81899999999999995</v>
      </c>
      <c r="BH99" s="21">
        <v>0.81499999999999995</v>
      </c>
      <c r="BI99" s="21">
        <v>0.79500000000000004</v>
      </c>
      <c r="BJ99" s="21">
        <v>0.80500000000000005</v>
      </c>
      <c r="BK99" s="21">
        <v>0.80700000000000005</v>
      </c>
      <c r="BL99" s="21">
        <v>0.72599999999999998</v>
      </c>
      <c r="BM99" s="21"/>
      <c r="BN99" s="21"/>
      <c r="BO99" s="21"/>
      <c r="BP99" s="21"/>
    </row>
    <row r="100" spans="1:68" x14ac:dyDescent="0.25">
      <c r="A100" s="16" t="s">
        <v>256</v>
      </c>
      <c r="B100" s="12">
        <v>3</v>
      </c>
      <c r="C100" s="16" t="s">
        <v>256</v>
      </c>
      <c r="D100" s="17">
        <v>39.82</v>
      </c>
      <c r="E100" s="18">
        <v>0</v>
      </c>
      <c r="F100" s="17">
        <v>3.06</v>
      </c>
      <c r="G100" s="17">
        <v>28.74</v>
      </c>
      <c r="H100" s="19">
        <v>188.2</v>
      </c>
      <c r="I100" s="17">
        <v>249.31</v>
      </c>
      <c r="J100" s="20">
        <v>0.80844444444444397</v>
      </c>
      <c r="K100" s="18">
        <v>97015.676246595103</v>
      </c>
      <c r="L100" s="18">
        <v>512</v>
      </c>
      <c r="M100" s="17">
        <v>3.2214</v>
      </c>
      <c r="N100" s="17">
        <v>10.18</v>
      </c>
      <c r="O100" s="17">
        <v>15.87</v>
      </c>
      <c r="P100" s="17">
        <v>50.85</v>
      </c>
      <c r="Q100" s="17">
        <v>62.78</v>
      </c>
      <c r="R100" s="20">
        <v>0.45137500000000003</v>
      </c>
      <c r="S100" s="20">
        <v>1.2598194444444399</v>
      </c>
      <c r="T100" s="18">
        <v>151182.500416922</v>
      </c>
      <c r="U100" s="17">
        <v>99.7</v>
      </c>
      <c r="V100" s="18">
        <v>2895</v>
      </c>
      <c r="W100" s="12"/>
      <c r="X100" s="21">
        <v>0.78500000000000003</v>
      </c>
      <c r="Y100" s="21">
        <v>0.80900000000000005</v>
      </c>
      <c r="Z100" s="21">
        <v>0.80900000000000005</v>
      </c>
      <c r="AA100" s="21">
        <v>0.80700000000000005</v>
      </c>
      <c r="AB100" s="21">
        <v>0.78300000000000003</v>
      </c>
      <c r="AC100" s="21">
        <v>0.81200000000000006</v>
      </c>
      <c r="AD100" s="21">
        <v>0.81399999999999995</v>
      </c>
      <c r="AE100" s="21">
        <v>0.80300000000000005</v>
      </c>
      <c r="AF100" s="21">
        <v>0.80500000000000005</v>
      </c>
      <c r="AG100" s="21">
        <v>0.80600000000000005</v>
      </c>
      <c r="AH100" s="21">
        <v>0.81399999999999995</v>
      </c>
      <c r="AI100" s="21">
        <v>0.81</v>
      </c>
      <c r="AJ100" s="21">
        <v>0.80600000000000005</v>
      </c>
      <c r="AK100" s="21">
        <v>0.80800000000000005</v>
      </c>
      <c r="AL100" s="21">
        <v>0.82399999999999995</v>
      </c>
      <c r="AM100" s="21">
        <v>0.80100000000000005</v>
      </c>
      <c r="AN100" s="21">
        <v>0.81</v>
      </c>
      <c r="AO100" s="21">
        <v>0.81499999999999995</v>
      </c>
      <c r="AP100" s="21">
        <v>0.82799999999999996</v>
      </c>
      <c r="AQ100" s="21">
        <v>0.82099999999999995</v>
      </c>
      <c r="AR100" s="21">
        <v>0.79900000000000004</v>
      </c>
      <c r="AS100" s="21">
        <v>0.82499999999999996</v>
      </c>
      <c r="AT100" s="21">
        <v>0.81799999999999995</v>
      </c>
      <c r="AU100" s="21">
        <v>0.79500000000000004</v>
      </c>
      <c r="AV100" s="21">
        <v>0.80700000000000005</v>
      </c>
      <c r="AW100" s="21">
        <v>0.80700000000000005</v>
      </c>
      <c r="AX100" s="21">
        <v>0.81699999999999995</v>
      </c>
      <c r="AY100" s="21">
        <v>0.82199999999999995</v>
      </c>
      <c r="AZ100" s="21">
        <v>0.79700000000000004</v>
      </c>
      <c r="BA100" s="21">
        <v>0.81299999999999994</v>
      </c>
      <c r="BB100" s="21">
        <v>0.80600000000000005</v>
      </c>
      <c r="BC100" s="21">
        <v>0.81499999999999995</v>
      </c>
      <c r="BD100" s="21">
        <v>0.80200000000000005</v>
      </c>
      <c r="BE100" s="21">
        <v>0.77400000000000002</v>
      </c>
      <c r="BF100" s="21">
        <v>0.81699999999999995</v>
      </c>
      <c r="BG100" s="21">
        <v>0.80300000000000005</v>
      </c>
      <c r="BH100" s="21">
        <v>0.81599999999999995</v>
      </c>
      <c r="BI100" s="21">
        <v>0.79900000000000004</v>
      </c>
      <c r="BJ100" s="21">
        <v>0.81399999999999995</v>
      </c>
      <c r="BK100" s="21">
        <v>0.81599999999999995</v>
      </c>
      <c r="BL100" s="21">
        <v>0.76500000000000001</v>
      </c>
      <c r="BM100" s="21"/>
      <c r="BN100" s="21"/>
      <c r="BO100" s="21"/>
      <c r="BP100" s="21"/>
    </row>
    <row r="101" spans="1:68" x14ac:dyDescent="0.25">
      <c r="A101" s="22" t="s">
        <v>257</v>
      </c>
      <c r="B101" s="15">
        <v>1</v>
      </c>
      <c r="C101" s="22" t="s">
        <v>257</v>
      </c>
      <c r="D101" s="23">
        <v>39.82</v>
      </c>
      <c r="E101" s="24">
        <v>0</v>
      </c>
      <c r="F101" s="23">
        <v>2.8</v>
      </c>
      <c r="G101" s="23">
        <v>28.68</v>
      </c>
      <c r="H101" s="25">
        <v>185.29</v>
      </c>
      <c r="I101" s="23">
        <v>248.93</v>
      </c>
      <c r="J101" s="26">
        <v>0.80417222222222196</v>
      </c>
      <c r="K101" s="24">
        <v>96531.201204550496</v>
      </c>
      <c r="L101" s="24">
        <v>256</v>
      </c>
      <c r="M101" s="23">
        <v>3.2614999999999998</v>
      </c>
      <c r="N101" s="23">
        <v>10.28</v>
      </c>
      <c r="O101" s="23">
        <v>15.86</v>
      </c>
      <c r="P101" s="23">
        <v>50.67</v>
      </c>
      <c r="Q101" s="23">
        <v>62.78</v>
      </c>
      <c r="R101" s="26">
        <v>0.46398611111111099</v>
      </c>
      <c r="S101" s="26">
        <v>1.2681583333333299</v>
      </c>
      <c r="T101" s="24">
        <v>152226.41088556801</v>
      </c>
      <c r="U101" s="23">
        <v>99.4</v>
      </c>
      <c r="V101" s="24">
        <v>2888</v>
      </c>
      <c r="W101" s="15"/>
      <c r="X101" s="27">
        <v>0.77200000000000002</v>
      </c>
      <c r="Y101" s="27">
        <v>0.78300000000000003</v>
      </c>
      <c r="Z101" s="27">
        <v>0.86899999999999999</v>
      </c>
      <c r="AA101" s="27">
        <v>0.85899999999999999</v>
      </c>
      <c r="AB101" s="27">
        <v>0.78600000000000003</v>
      </c>
      <c r="AC101" s="27">
        <v>0.79600000000000004</v>
      </c>
      <c r="AD101" s="27">
        <v>0.77200000000000002</v>
      </c>
      <c r="AE101" s="27">
        <v>0.80200000000000005</v>
      </c>
      <c r="AF101" s="27">
        <v>0.80900000000000005</v>
      </c>
      <c r="AG101" s="27">
        <v>0.79200000000000004</v>
      </c>
      <c r="AH101" s="27">
        <v>0.80900000000000005</v>
      </c>
      <c r="AI101" s="27">
        <v>0.747</v>
      </c>
      <c r="AJ101" s="27">
        <v>0.57199999999999995</v>
      </c>
      <c r="AK101" s="27">
        <v>0.87</v>
      </c>
      <c r="AL101" s="27">
        <v>0.86099999999999999</v>
      </c>
      <c r="AM101" s="27">
        <v>0.86599999999999999</v>
      </c>
      <c r="AN101" s="27">
        <v>0.85499999999999998</v>
      </c>
      <c r="AO101" s="27">
        <v>0.86199999999999999</v>
      </c>
      <c r="AP101" s="27">
        <v>0.875</v>
      </c>
      <c r="AQ101" s="27">
        <v>0.86399999999999999</v>
      </c>
      <c r="AR101" s="27">
        <v>0.84</v>
      </c>
      <c r="AS101" s="27">
        <v>0.86799999999999999</v>
      </c>
      <c r="AT101" s="27">
        <v>0.86</v>
      </c>
      <c r="AU101" s="27">
        <v>0.80300000000000005</v>
      </c>
      <c r="AV101" s="27">
        <v>0.79800000000000004</v>
      </c>
      <c r="AW101" s="27">
        <v>0.78300000000000003</v>
      </c>
      <c r="AX101" s="27">
        <v>0.8</v>
      </c>
      <c r="AY101" s="27">
        <v>0.80700000000000005</v>
      </c>
      <c r="AZ101" s="27">
        <v>0.78100000000000003</v>
      </c>
      <c r="BA101" s="27">
        <v>0.78600000000000003</v>
      </c>
      <c r="BB101" s="27">
        <v>0.79400000000000004</v>
      </c>
      <c r="BC101" s="27">
        <v>0.77300000000000002</v>
      </c>
      <c r="BD101" s="27">
        <v>0.79200000000000004</v>
      </c>
      <c r="BE101" s="27">
        <v>0.79</v>
      </c>
      <c r="BF101" s="27">
        <v>0.78900000000000003</v>
      </c>
      <c r="BG101" s="27">
        <v>0.80600000000000005</v>
      </c>
      <c r="BH101" s="27">
        <v>0.78900000000000003</v>
      </c>
      <c r="BI101" s="27">
        <v>0.79600000000000004</v>
      </c>
      <c r="BJ101" s="27">
        <v>0.79200000000000004</v>
      </c>
      <c r="BK101" s="27">
        <v>0.81399999999999995</v>
      </c>
      <c r="BL101" s="27">
        <v>0.73699999999999999</v>
      </c>
      <c r="BM101" s="27"/>
      <c r="BN101" s="27"/>
      <c r="BO101" s="27"/>
      <c r="BP101" s="27"/>
    </row>
    <row r="102" spans="1:68" x14ac:dyDescent="0.25">
      <c r="A102" s="22" t="s">
        <v>257</v>
      </c>
      <c r="B102" s="15">
        <v>2</v>
      </c>
      <c r="C102" s="22" t="s">
        <v>257</v>
      </c>
      <c r="D102" s="23">
        <v>39.81</v>
      </c>
      <c r="E102" s="24">
        <v>0</v>
      </c>
      <c r="F102" s="23">
        <v>2.88</v>
      </c>
      <c r="G102" s="23">
        <v>29.04</v>
      </c>
      <c r="H102" s="25">
        <v>184.8</v>
      </c>
      <c r="I102" s="23">
        <v>248.96</v>
      </c>
      <c r="J102" s="26">
        <v>0.80669166666666703</v>
      </c>
      <c r="K102" s="24">
        <v>96827.148764949205</v>
      </c>
      <c r="L102" s="24">
        <v>2097152</v>
      </c>
      <c r="M102" s="23">
        <v>3.3851</v>
      </c>
      <c r="N102" s="23">
        <v>10.18</v>
      </c>
      <c r="O102" s="23">
        <v>15.91</v>
      </c>
      <c r="P102" s="23">
        <v>52.19</v>
      </c>
      <c r="Q102" s="23">
        <v>62.99</v>
      </c>
      <c r="R102" s="26">
        <v>0.45510555555555599</v>
      </c>
      <c r="S102" s="26">
        <v>1.26179722222222</v>
      </c>
      <c r="T102" s="24">
        <v>151449.340561082</v>
      </c>
      <c r="U102" s="23">
        <v>99.7</v>
      </c>
      <c r="V102" s="24">
        <v>2896</v>
      </c>
      <c r="W102" s="15"/>
      <c r="X102" s="27">
        <v>0.90200000000000002</v>
      </c>
      <c r="Y102" s="27">
        <v>0.80600000000000005</v>
      </c>
      <c r="Z102" s="27">
        <v>0.78600000000000003</v>
      </c>
      <c r="AA102" s="27">
        <v>0.78600000000000003</v>
      </c>
      <c r="AB102" s="27">
        <v>0.79</v>
      </c>
      <c r="AC102" s="27">
        <v>0.874</v>
      </c>
      <c r="AD102" s="27">
        <v>0.79900000000000004</v>
      </c>
      <c r="AE102" s="27">
        <v>0.80900000000000005</v>
      </c>
      <c r="AF102" s="27">
        <v>0.76400000000000001</v>
      </c>
      <c r="AG102" s="27">
        <v>0.79700000000000004</v>
      </c>
      <c r="AH102" s="27">
        <v>0.78300000000000003</v>
      </c>
      <c r="AI102" s="27">
        <v>0.80200000000000005</v>
      </c>
      <c r="AJ102" s="27">
        <v>0.80800000000000005</v>
      </c>
      <c r="AK102" s="27">
        <v>0.81100000000000005</v>
      </c>
      <c r="AL102" s="27">
        <v>0.80300000000000005</v>
      </c>
      <c r="AM102" s="27">
        <v>0.81200000000000006</v>
      </c>
      <c r="AN102" s="27">
        <v>0.79300000000000004</v>
      </c>
      <c r="AO102" s="27">
        <v>0.79900000000000004</v>
      </c>
      <c r="AP102" s="27">
        <v>0.81599999999999995</v>
      </c>
      <c r="AQ102" s="27">
        <v>0.80700000000000005</v>
      </c>
      <c r="AR102" s="27">
        <v>0.80800000000000005</v>
      </c>
      <c r="AS102" s="27">
        <v>0.81699999999999995</v>
      </c>
      <c r="AT102" s="27">
        <v>0.80800000000000005</v>
      </c>
      <c r="AU102" s="27">
        <v>0.79700000000000004</v>
      </c>
      <c r="AV102" s="27">
        <v>0.80300000000000005</v>
      </c>
      <c r="AW102" s="27">
        <v>0.81499999999999995</v>
      </c>
      <c r="AX102" s="27">
        <v>0.81899999999999995</v>
      </c>
      <c r="AY102" s="27">
        <v>0.80200000000000005</v>
      </c>
      <c r="AZ102" s="27">
        <v>0.81699999999999995</v>
      </c>
      <c r="BA102" s="27">
        <v>0.80100000000000005</v>
      </c>
      <c r="BB102" s="27">
        <v>0.81499999999999995</v>
      </c>
      <c r="BC102" s="27">
        <v>0.82</v>
      </c>
      <c r="BD102" s="27">
        <v>0.80800000000000005</v>
      </c>
      <c r="BE102" s="27">
        <v>0.80400000000000005</v>
      </c>
      <c r="BF102" s="27">
        <v>0.80800000000000005</v>
      </c>
      <c r="BG102" s="27">
        <v>0.80700000000000005</v>
      </c>
      <c r="BH102" s="27">
        <v>0.81799999999999995</v>
      </c>
      <c r="BI102" s="27">
        <v>0.80100000000000005</v>
      </c>
      <c r="BJ102" s="27">
        <v>0.81200000000000006</v>
      </c>
      <c r="BK102" s="27">
        <v>0.80800000000000005</v>
      </c>
      <c r="BL102" s="27">
        <v>0.77300000000000002</v>
      </c>
      <c r="BM102" s="27"/>
      <c r="BN102" s="27"/>
      <c r="BO102" s="27"/>
      <c r="BP102" s="27"/>
    </row>
    <row r="103" spans="1:68" x14ac:dyDescent="0.25">
      <c r="A103" s="22" t="s">
        <v>257</v>
      </c>
      <c r="B103" s="15">
        <v>3</v>
      </c>
      <c r="C103" s="22" t="s">
        <v>257</v>
      </c>
      <c r="D103" s="23">
        <v>39.770000000000003</v>
      </c>
      <c r="E103" s="24">
        <v>0</v>
      </c>
      <c r="F103" s="23">
        <v>2.73</v>
      </c>
      <c r="G103" s="23">
        <v>28.77</v>
      </c>
      <c r="H103" s="25">
        <v>188.74</v>
      </c>
      <c r="I103" s="23">
        <v>249.31</v>
      </c>
      <c r="J103" s="26">
        <v>0.80133611111111103</v>
      </c>
      <c r="K103" s="24">
        <v>96180.456371345703</v>
      </c>
      <c r="L103" s="24">
        <v>512</v>
      </c>
      <c r="M103" s="23">
        <v>3.3913000000000002</v>
      </c>
      <c r="N103" s="23">
        <v>10.210000000000001</v>
      </c>
      <c r="O103" s="23">
        <v>15.9</v>
      </c>
      <c r="P103" s="23">
        <v>51.71</v>
      </c>
      <c r="Q103" s="23">
        <v>62.9</v>
      </c>
      <c r="R103" s="26">
        <v>0.45609166666666701</v>
      </c>
      <c r="S103" s="26">
        <v>1.25742777777778</v>
      </c>
      <c r="T103" s="24">
        <v>150918.991296586</v>
      </c>
      <c r="U103" s="23">
        <v>99.6</v>
      </c>
      <c r="V103" s="24">
        <v>2891</v>
      </c>
      <c r="W103" s="15"/>
      <c r="X103" s="27">
        <v>0.66</v>
      </c>
      <c r="Y103" s="27">
        <v>0.80300000000000005</v>
      </c>
      <c r="Z103" s="27">
        <v>0.78200000000000003</v>
      </c>
      <c r="AA103" s="27">
        <v>0.78700000000000003</v>
      </c>
      <c r="AB103" s="27">
        <v>0.78800000000000003</v>
      </c>
      <c r="AC103" s="27">
        <v>0.80600000000000005</v>
      </c>
      <c r="AD103" s="27">
        <v>0.81100000000000005</v>
      </c>
      <c r="AE103" s="27">
        <v>0.79600000000000004</v>
      </c>
      <c r="AF103" s="27">
        <v>0.79300000000000004</v>
      </c>
      <c r="AG103" s="27">
        <v>0.80400000000000005</v>
      </c>
      <c r="AH103" s="27">
        <v>0.81499999999999995</v>
      </c>
      <c r="AI103" s="27">
        <v>0.79800000000000004</v>
      </c>
      <c r="AJ103" s="27">
        <v>0.78600000000000003</v>
      </c>
      <c r="AK103" s="27">
        <v>0.79500000000000004</v>
      </c>
      <c r="AL103" s="27">
        <v>0.80900000000000005</v>
      </c>
      <c r="AM103" s="27">
        <v>0.77900000000000003</v>
      </c>
      <c r="AN103" s="27">
        <v>0.81799999999999995</v>
      </c>
      <c r="AO103" s="27">
        <v>0.80300000000000005</v>
      </c>
      <c r="AP103" s="27">
        <v>0.79400000000000004</v>
      </c>
      <c r="AQ103" s="27">
        <v>0.80800000000000005</v>
      </c>
      <c r="AR103" s="27">
        <v>0.80300000000000005</v>
      </c>
      <c r="AS103" s="27">
        <v>0.81200000000000006</v>
      </c>
      <c r="AT103" s="27">
        <v>0.81399999999999995</v>
      </c>
      <c r="AU103" s="27">
        <v>0.81299999999999994</v>
      </c>
      <c r="AV103" s="27">
        <v>0.81399999999999995</v>
      </c>
      <c r="AW103" s="27">
        <v>0.82699999999999996</v>
      </c>
      <c r="AX103" s="27">
        <v>0.81200000000000006</v>
      </c>
      <c r="AY103" s="27">
        <v>0.79900000000000004</v>
      </c>
      <c r="AZ103" s="27">
        <v>0.78700000000000003</v>
      </c>
      <c r="BA103" s="27">
        <v>0.80800000000000005</v>
      </c>
      <c r="BB103" s="27">
        <v>0.80100000000000005</v>
      </c>
      <c r="BC103" s="27">
        <v>0.79800000000000004</v>
      </c>
      <c r="BD103" s="27">
        <v>0.79300000000000004</v>
      </c>
      <c r="BE103" s="27">
        <v>0.81499999999999995</v>
      </c>
      <c r="BF103" s="27">
        <v>0.79800000000000004</v>
      </c>
      <c r="BG103" s="27">
        <v>0.80400000000000005</v>
      </c>
      <c r="BH103" s="27">
        <v>0.79100000000000004</v>
      </c>
      <c r="BI103" s="27">
        <v>0.79700000000000004</v>
      </c>
      <c r="BJ103" s="27">
        <v>0.78400000000000003</v>
      </c>
      <c r="BK103" s="27">
        <v>0.79800000000000004</v>
      </c>
      <c r="BL103" s="27">
        <v>0.76200000000000001</v>
      </c>
      <c r="BM103" s="27"/>
      <c r="BN103" s="27"/>
      <c r="BO103" s="27"/>
      <c r="BP103" s="27"/>
    </row>
    <row r="104" spans="1:68" x14ac:dyDescent="0.25">
      <c r="A104" s="16" t="s">
        <v>258</v>
      </c>
      <c r="B104" s="12">
        <v>1</v>
      </c>
      <c r="C104" s="16" t="s">
        <v>258</v>
      </c>
      <c r="D104" s="17">
        <v>39.83</v>
      </c>
      <c r="E104" s="18">
        <v>0</v>
      </c>
      <c r="F104" s="17">
        <v>2.93</v>
      </c>
      <c r="G104" s="17">
        <v>29.23</v>
      </c>
      <c r="H104" s="19">
        <v>187.84</v>
      </c>
      <c r="I104" s="17">
        <v>249.24</v>
      </c>
      <c r="J104" s="20">
        <v>0.78152162162162198</v>
      </c>
      <c r="K104" s="18">
        <v>96054.230897194197</v>
      </c>
      <c r="L104" s="18">
        <v>512</v>
      </c>
      <c r="M104" s="17">
        <v>3.5773000000000001</v>
      </c>
      <c r="N104" s="17">
        <v>7.39</v>
      </c>
      <c r="O104" s="17">
        <v>15.89</v>
      </c>
      <c r="P104" s="17">
        <v>55.58</v>
      </c>
      <c r="Q104" s="17">
        <v>76.23</v>
      </c>
      <c r="R104" s="20">
        <v>0.39084324324324299</v>
      </c>
      <c r="S104" s="20">
        <v>1.1723648648648699</v>
      </c>
      <c r="T104" s="18">
        <v>144106.99234778801</v>
      </c>
      <c r="U104" s="17">
        <v>99.6</v>
      </c>
      <c r="V104" s="18">
        <v>2892</v>
      </c>
      <c r="W104" s="12"/>
      <c r="X104" s="21">
        <v>0.78300000000000003</v>
      </c>
      <c r="Y104" s="21">
        <v>0.81599999999999995</v>
      </c>
      <c r="Z104" s="21">
        <v>0.81200000000000006</v>
      </c>
      <c r="AA104" s="21">
        <v>0.79</v>
      </c>
      <c r="AB104" s="21">
        <v>0.80500000000000005</v>
      </c>
      <c r="AC104" s="21">
        <v>0.78700000000000003</v>
      </c>
      <c r="AD104" s="21">
        <v>0.80300000000000005</v>
      </c>
      <c r="AE104" s="21">
        <v>0.80500000000000005</v>
      </c>
      <c r="AF104" s="21">
        <v>0.9</v>
      </c>
      <c r="AG104" s="21">
        <v>0.80100000000000005</v>
      </c>
      <c r="AH104" s="21">
        <v>0.80100000000000005</v>
      </c>
      <c r="AI104" s="21">
        <v>0.79300000000000004</v>
      </c>
      <c r="AJ104" s="21">
        <v>0.80700000000000005</v>
      </c>
      <c r="AK104" s="21">
        <v>0.78500000000000003</v>
      </c>
      <c r="AL104" s="21">
        <v>0.79900000000000004</v>
      </c>
      <c r="AM104" s="21">
        <v>0.80900000000000005</v>
      </c>
      <c r="AN104" s="21">
        <v>0.79500000000000004</v>
      </c>
      <c r="AO104" s="21">
        <v>0.81100000000000005</v>
      </c>
      <c r="AP104" s="21">
        <v>0.80800000000000005</v>
      </c>
      <c r="AQ104" s="21">
        <v>0.79400000000000004</v>
      </c>
      <c r="AR104" s="21">
        <v>0.78400000000000003</v>
      </c>
      <c r="AS104" s="21">
        <v>0.79900000000000004</v>
      </c>
      <c r="AT104" s="21">
        <v>0.80700000000000005</v>
      </c>
      <c r="AU104" s="21">
        <v>0.80700000000000005</v>
      </c>
      <c r="AV104" s="21">
        <v>0.79400000000000004</v>
      </c>
      <c r="AW104" s="21">
        <v>0.77600000000000002</v>
      </c>
      <c r="AX104" s="21">
        <v>0.81499999999999995</v>
      </c>
      <c r="AY104" s="21">
        <v>0.8</v>
      </c>
      <c r="AZ104" s="21">
        <v>0.80500000000000005</v>
      </c>
      <c r="BA104" s="21">
        <v>0.80800000000000005</v>
      </c>
      <c r="BB104" s="21">
        <v>0.79900000000000004</v>
      </c>
      <c r="BC104" s="21">
        <v>0.83399999999999996</v>
      </c>
      <c r="BD104" s="21">
        <v>0.79700000000000004</v>
      </c>
      <c r="BE104" s="21">
        <v>0.79600000000000004</v>
      </c>
      <c r="BF104" s="21">
        <v>0.81100000000000005</v>
      </c>
      <c r="BG104" s="21">
        <v>0.77200000000000002</v>
      </c>
      <c r="BH104" s="21">
        <v>0.80600000000000005</v>
      </c>
      <c r="BI104" s="21">
        <v>0.78700000000000003</v>
      </c>
      <c r="BJ104" s="21">
        <v>0.79</v>
      </c>
      <c r="BK104" s="21">
        <v>0.79400000000000004</v>
      </c>
      <c r="BL104" s="21">
        <v>0.78600000000000003</v>
      </c>
      <c r="BM104" s="21">
        <v>4.9000000000000002E-2</v>
      </c>
      <c r="BN104" s="21"/>
      <c r="BO104" s="21"/>
      <c r="BP104" s="21"/>
    </row>
    <row r="105" spans="1:68" x14ac:dyDescent="0.25">
      <c r="A105" s="16" t="s">
        <v>258</v>
      </c>
      <c r="B105" s="12">
        <v>2</v>
      </c>
      <c r="C105" s="16" t="s">
        <v>258</v>
      </c>
      <c r="D105" s="17">
        <v>39.799999999999997</v>
      </c>
      <c r="E105" s="18">
        <v>0</v>
      </c>
      <c r="F105" s="17">
        <v>3.11</v>
      </c>
      <c r="G105" s="17">
        <v>29.12</v>
      </c>
      <c r="H105" s="19">
        <v>183.38</v>
      </c>
      <c r="I105" s="17">
        <v>248.88</v>
      </c>
      <c r="J105" s="20">
        <v>0.79483055555555604</v>
      </c>
      <c r="K105" s="18">
        <v>95385.165003197195</v>
      </c>
      <c r="L105" s="18">
        <v>512</v>
      </c>
      <c r="M105" s="17">
        <v>3.4748999999999999</v>
      </c>
      <c r="N105" s="17">
        <v>7.66</v>
      </c>
      <c r="O105" s="17">
        <v>15.94</v>
      </c>
      <c r="P105" s="17">
        <v>55.76</v>
      </c>
      <c r="Q105" s="17">
        <v>79.78</v>
      </c>
      <c r="R105" s="20">
        <v>0.403030555555556</v>
      </c>
      <c r="S105" s="20">
        <v>1.1978611111111099</v>
      </c>
      <c r="T105" s="18">
        <v>143750.34057104701</v>
      </c>
      <c r="U105" s="17">
        <v>99.6</v>
      </c>
      <c r="V105" s="18">
        <v>2892</v>
      </c>
      <c r="W105" s="12"/>
      <c r="X105" s="21">
        <v>0.77100000000000002</v>
      </c>
      <c r="Y105" s="21">
        <v>0.80400000000000005</v>
      </c>
      <c r="Z105" s="21">
        <v>0.81100000000000005</v>
      </c>
      <c r="AA105" s="21">
        <v>0.81100000000000005</v>
      </c>
      <c r="AB105" s="21">
        <v>0.79</v>
      </c>
      <c r="AC105" s="21">
        <v>0.79800000000000004</v>
      </c>
      <c r="AD105" s="21">
        <v>0.79600000000000004</v>
      </c>
      <c r="AE105" s="21">
        <v>0.78300000000000003</v>
      </c>
      <c r="AF105" s="21">
        <v>0.79400000000000004</v>
      </c>
      <c r="AG105" s="21">
        <v>0.79800000000000004</v>
      </c>
      <c r="AH105" s="21">
        <v>0.80400000000000005</v>
      </c>
      <c r="AI105" s="21">
        <v>0.79300000000000004</v>
      </c>
      <c r="AJ105" s="21">
        <v>0.77200000000000002</v>
      </c>
      <c r="AK105" s="21">
        <v>0.80600000000000005</v>
      </c>
      <c r="AL105" s="21">
        <v>0.79400000000000004</v>
      </c>
      <c r="AM105" s="21">
        <v>0.80400000000000005</v>
      </c>
      <c r="AN105" s="21">
        <v>0.77600000000000002</v>
      </c>
      <c r="AO105" s="21">
        <v>0.77400000000000002</v>
      </c>
      <c r="AP105" s="21">
        <v>0.82399999999999995</v>
      </c>
      <c r="AQ105" s="21">
        <v>0.78700000000000003</v>
      </c>
      <c r="AR105" s="21">
        <v>0.77400000000000002</v>
      </c>
      <c r="AS105" s="21">
        <v>0.81399999999999995</v>
      </c>
      <c r="AT105" s="21">
        <v>0.79</v>
      </c>
      <c r="AU105" s="21">
        <v>0.80800000000000005</v>
      </c>
      <c r="AV105" s="21">
        <v>0.79900000000000004</v>
      </c>
      <c r="AW105" s="21">
        <v>0.79200000000000004</v>
      </c>
      <c r="AX105" s="21">
        <v>0.79600000000000004</v>
      </c>
      <c r="AY105" s="21">
        <v>0.78100000000000003</v>
      </c>
      <c r="AZ105" s="21">
        <v>0.78300000000000003</v>
      </c>
      <c r="BA105" s="21">
        <v>0.79100000000000004</v>
      </c>
      <c r="BB105" s="21">
        <v>0.80900000000000005</v>
      </c>
      <c r="BC105" s="21">
        <v>0.80900000000000005</v>
      </c>
      <c r="BD105" s="21">
        <v>0.80900000000000005</v>
      </c>
      <c r="BE105" s="21">
        <v>0.78800000000000003</v>
      </c>
      <c r="BF105" s="21">
        <v>0.82099999999999995</v>
      </c>
      <c r="BG105" s="21">
        <v>0.79800000000000004</v>
      </c>
      <c r="BH105" s="21">
        <v>0.81</v>
      </c>
      <c r="BI105" s="21">
        <v>0.78900000000000003</v>
      </c>
      <c r="BJ105" s="21">
        <v>0.79800000000000004</v>
      </c>
      <c r="BK105" s="21">
        <v>0.80700000000000005</v>
      </c>
      <c r="BL105" s="21">
        <v>0.748</v>
      </c>
      <c r="BM105" s="21"/>
      <c r="BN105" s="21"/>
      <c r="BO105" s="21"/>
      <c r="BP105" s="21"/>
    </row>
    <row r="106" spans="1:68" x14ac:dyDescent="0.25">
      <c r="A106" s="16" t="s">
        <v>258</v>
      </c>
      <c r="B106" s="12">
        <v>3</v>
      </c>
      <c r="C106" s="16" t="s">
        <v>258</v>
      </c>
      <c r="D106" s="17">
        <v>39.74</v>
      </c>
      <c r="E106" s="18">
        <v>0</v>
      </c>
      <c r="F106" s="17">
        <v>2.83</v>
      </c>
      <c r="G106" s="17">
        <v>29.4</v>
      </c>
      <c r="H106" s="19">
        <v>188.64</v>
      </c>
      <c r="I106" s="17">
        <v>249.4</v>
      </c>
      <c r="J106" s="20">
        <v>0.75780263157894701</v>
      </c>
      <c r="K106" s="18">
        <v>91395.567192996401</v>
      </c>
      <c r="L106" s="18">
        <v>512</v>
      </c>
      <c r="M106" s="17">
        <v>3.5750999999999999</v>
      </c>
      <c r="N106" s="17">
        <v>7.41</v>
      </c>
      <c r="O106" s="17">
        <v>15.9</v>
      </c>
      <c r="P106" s="17">
        <v>55.75</v>
      </c>
      <c r="Q106" s="17">
        <v>81.62</v>
      </c>
      <c r="R106" s="20">
        <v>0.37789210526315797</v>
      </c>
      <c r="S106" s="20">
        <v>1.13569473684211</v>
      </c>
      <c r="T106" s="18">
        <v>136971.646962364</v>
      </c>
      <c r="U106" s="17">
        <v>99.6</v>
      </c>
      <c r="V106" s="18">
        <v>2891</v>
      </c>
      <c r="W106" s="12"/>
      <c r="X106" s="21">
        <v>0.753</v>
      </c>
      <c r="Y106" s="21">
        <v>0.80700000000000005</v>
      </c>
      <c r="Z106" s="21">
        <v>0.78100000000000003</v>
      </c>
      <c r="AA106" s="21">
        <v>0.78900000000000003</v>
      </c>
      <c r="AB106" s="21">
        <v>0.79300000000000004</v>
      </c>
      <c r="AC106" s="21">
        <v>0.80900000000000005</v>
      </c>
      <c r="AD106" s="21">
        <v>0.79800000000000004</v>
      </c>
      <c r="AE106" s="21">
        <v>0.78400000000000003</v>
      </c>
      <c r="AF106" s="21">
        <v>0.79700000000000004</v>
      </c>
      <c r="AG106" s="21">
        <v>0.81299999999999994</v>
      </c>
      <c r="AH106" s="21">
        <v>0.79</v>
      </c>
      <c r="AI106" s="21">
        <v>0.80200000000000005</v>
      </c>
      <c r="AJ106" s="21">
        <v>0.84599999999999997</v>
      </c>
      <c r="AK106" s="21">
        <v>0.877</v>
      </c>
      <c r="AL106" s="21">
        <v>0.80500000000000005</v>
      </c>
      <c r="AM106" s="21">
        <v>0.80300000000000005</v>
      </c>
      <c r="AN106" s="21">
        <v>0.79300000000000004</v>
      </c>
      <c r="AO106" s="21">
        <v>0.80300000000000005</v>
      </c>
      <c r="AP106" s="21">
        <v>0.80400000000000005</v>
      </c>
      <c r="AQ106" s="21">
        <v>0.80300000000000005</v>
      </c>
      <c r="AR106" s="21">
        <v>0.80100000000000005</v>
      </c>
      <c r="AS106" s="21">
        <v>0.79200000000000004</v>
      </c>
      <c r="AT106" s="21">
        <v>0.8</v>
      </c>
      <c r="AU106" s="21">
        <v>0.79800000000000004</v>
      </c>
      <c r="AV106" s="21">
        <v>0.79900000000000004</v>
      </c>
      <c r="AW106" s="21">
        <v>0.79700000000000004</v>
      </c>
      <c r="AX106" s="21">
        <v>0.79900000000000004</v>
      </c>
      <c r="AY106" s="21">
        <v>0.81499999999999995</v>
      </c>
      <c r="AZ106" s="21">
        <v>0.80700000000000005</v>
      </c>
      <c r="BA106" s="21">
        <v>0.79100000000000004</v>
      </c>
      <c r="BB106" s="21">
        <v>0.79700000000000004</v>
      </c>
      <c r="BC106" s="21">
        <v>0.81</v>
      </c>
      <c r="BD106" s="21">
        <v>0.80300000000000005</v>
      </c>
      <c r="BE106" s="21">
        <v>0.79200000000000004</v>
      </c>
      <c r="BF106" s="21">
        <v>0.78800000000000003</v>
      </c>
      <c r="BG106" s="21">
        <v>0.82099999999999995</v>
      </c>
      <c r="BH106" s="21">
        <v>0.80400000000000005</v>
      </c>
      <c r="BI106" s="21">
        <v>0.78100000000000003</v>
      </c>
      <c r="BJ106" s="21">
        <v>0.80500000000000005</v>
      </c>
      <c r="BK106" s="21">
        <v>0.81299999999999994</v>
      </c>
      <c r="BL106" s="21">
        <v>0.65400000000000003</v>
      </c>
      <c r="BM106" s="21">
        <v>0</v>
      </c>
      <c r="BN106" s="21">
        <v>0</v>
      </c>
      <c r="BO106" s="21"/>
      <c r="BP106" s="21"/>
    </row>
    <row r="107" spans="1:68" x14ac:dyDescent="0.25">
      <c r="A107" s="22" t="s">
        <v>259</v>
      </c>
      <c r="B107" s="15">
        <v>1</v>
      </c>
      <c r="C107" s="22" t="s">
        <v>259</v>
      </c>
      <c r="D107" s="23">
        <v>40.479999999999997</v>
      </c>
      <c r="E107" s="24">
        <v>0</v>
      </c>
      <c r="F107" s="23">
        <v>3.06</v>
      </c>
      <c r="G107" s="23">
        <v>28.77</v>
      </c>
      <c r="H107" s="25">
        <v>187.38</v>
      </c>
      <c r="I107" s="23">
        <v>249.16</v>
      </c>
      <c r="J107" s="26">
        <v>0.80491891891891898</v>
      </c>
      <c r="K107" s="24">
        <v>96665.741496598595</v>
      </c>
      <c r="L107" s="24">
        <v>2097152</v>
      </c>
      <c r="M107" s="23">
        <v>3.2408000000000001</v>
      </c>
      <c r="N107" s="23">
        <v>10.19</v>
      </c>
      <c r="O107" s="23">
        <v>15.87</v>
      </c>
      <c r="P107" s="23">
        <v>51.13</v>
      </c>
      <c r="Q107" s="23">
        <v>62.8</v>
      </c>
      <c r="R107" s="26">
        <v>0.45108108108108103</v>
      </c>
      <c r="S107" s="26">
        <v>1.256</v>
      </c>
      <c r="T107" s="24">
        <v>150839.86394557799</v>
      </c>
      <c r="U107" s="23">
        <v>99.6</v>
      </c>
      <c r="V107" s="24">
        <v>2892</v>
      </c>
      <c r="W107" s="15"/>
      <c r="X107" s="27">
        <v>0.88900000000000001</v>
      </c>
      <c r="Y107" s="27">
        <v>0.80600000000000005</v>
      </c>
      <c r="Z107" s="27">
        <v>0.80500000000000005</v>
      </c>
      <c r="AA107" s="27">
        <v>0.82199999999999995</v>
      </c>
      <c r="AB107" s="27">
        <v>0.81499999999999995</v>
      </c>
      <c r="AC107" s="27">
        <v>0.80100000000000005</v>
      </c>
      <c r="AD107" s="27">
        <v>0.80300000000000005</v>
      </c>
      <c r="AE107" s="27">
        <v>0.82</v>
      </c>
      <c r="AF107" s="27">
        <v>0.80900000000000005</v>
      </c>
      <c r="AG107" s="27">
        <v>0.80800000000000005</v>
      </c>
      <c r="AH107" s="27">
        <v>0.80200000000000005</v>
      </c>
      <c r="AI107" s="27">
        <v>0.80900000000000005</v>
      </c>
      <c r="AJ107" s="27">
        <v>0.80500000000000005</v>
      </c>
      <c r="AK107" s="27">
        <v>0.79800000000000004</v>
      </c>
      <c r="AL107" s="27">
        <v>0.79900000000000004</v>
      </c>
      <c r="AM107" s="27">
        <v>0.80600000000000005</v>
      </c>
      <c r="AN107" s="27">
        <v>0.80500000000000005</v>
      </c>
      <c r="AO107" s="27">
        <v>0.80400000000000005</v>
      </c>
      <c r="AP107" s="27">
        <v>0.80500000000000005</v>
      </c>
      <c r="AQ107" s="27">
        <v>0.82699999999999996</v>
      </c>
      <c r="AR107" s="27">
        <v>0.81799999999999995</v>
      </c>
      <c r="AS107" s="27">
        <v>0.82899999999999996</v>
      </c>
      <c r="AT107" s="27">
        <v>0.79600000000000004</v>
      </c>
      <c r="AU107" s="27">
        <v>0.81299999999999994</v>
      </c>
      <c r="AV107" s="27">
        <v>0.81</v>
      </c>
      <c r="AW107" s="27">
        <v>0.79900000000000004</v>
      </c>
      <c r="AX107" s="27">
        <v>0.79700000000000004</v>
      </c>
      <c r="AY107" s="27">
        <v>0.81299999999999994</v>
      </c>
      <c r="AZ107" s="27">
        <v>0.80100000000000005</v>
      </c>
      <c r="BA107" s="27">
        <v>0.80600000000000005</v>
      </c>
      <c r="BB107" s="27">
        <v>0.78400000000000003</v>
      </c>
      <c r="BC107" s="27">
        <v>0.81699999999999995</v>
      </c>
      <c r="BD107" s="27">
        <v>0.82299999999999995</v>
      </c>
      <c r="BE107" s="27">
        <v>0.82199999999999995</v>
      </c>
      <c r="BF107" s="27">
        <v>0.80400000000000005</v>
      </c>
      <c r="BG107" s="27">
        <v>0.79100000000000004</v>
      </c>
      <c r="BH107" s="27">
        <v>0.81799999999999995</v>
      </c>
      <c r="BI107" s="27">
        <v>0.82</v>
      </c>
      <c r="BJ107" s="27">
        <v>0.80400000000000005</v>
      </c>
      <c r="BK107" s="27">
        <v>0.79700000000000004</v>
      </c>
      <c r="BL107" s="27">
        <v>0.80900000000000005</v>
      </c>
      <c r="BM107" s="27">
        <v>0.71199999999999997</v>
      </c>
      <c r="BN107" s="27"/>
      <c r="BO107" s="27"/>
      <c r="BP107" s="27"/>
    </row>
    <row r="108" spans="1:68" x14ac:dyDescent="0.25">
      <c r="A108" s="22" t="s">
        <v>259</v>
      </c>
      <c r="B108" s="15">
        <v>2</v>
      </c>
      <c r="C108" s="22" t="s">
        <v>259</v>
      </c>
      <c r="D108" s="23">
        <v>39.799999999999997</v>
      </c>
      <c r="E108" s="24">
        <v>0</v>
      </c>
      <c r="F108" s="23">
        <v>3.03</v>
      </c>
      <c r="G108" s="23">
        <v>28.75</v>
      </c>
      <c r="H108" s="25">
        <v>187.26</v>
      </c>
      <c r="I108" s="23">
        <v>249.13</v>
      </c>
      <c r="J108" s="26">
        <v>0.80826944444444504</v>
      </c>
      <c r="K108" s="24">
        <v>96997.385984427106</v>
      </c>
      <c r="L108" s="24">
        <v>256</v>
      </c>
      <c r="M108" s="23">
        <v>3.2218</v>
      </c>
      <c r="N108" s="23">
        <v>10.210000000000001</v>
      </c>
      <c r="O108" s="23">
        <v>15.87</v>
      </c>
      <c r="P108" s="23">
        <v>51.1</v>
      </c>
      <c r="Q108" s="23">
        <v>62.8</v>
      </c>
      <c r="R108" s="26">
        <v>0.452133333333333</v>
      </c>
      <c r="S108" s="26">
        <v>1.26040277777778</v>
      </c>
      <c r="T108" s="24">
        <v>151258.231368187</v>
      </c>
      <c r="U108" s="23">
        <v>99.5</v>
      </c>
      <c r="V108" s="24">
        <v>2889</v>
      </c>
      <c r="W108" s="15"/>
      <c r="X108" s="27">
        <v>0.78700000000000003</v>
      </c>
      <c r="Y108" s="27">
        <v>0.81799999999999995</v>
      </c>
      <c r="Z108" s="27">
        <v>0.81</v>
      </c>
      <c r="AA108" s="27">
        <v>0.79500000000000004</v>
      </c>
      <c r="AB108" s="27">
        <v>0.81100000000000005</v>
      </c>
      <c r="AC108" s="27">
        <v>0.81399999999999995</v>
      </c>
      <c r="AD108" s="27">
        <v>0.81100000000000005</v>
      </c>
      <c r="AE108" s="27">
        <v>0.82299999999999995</v>
      </c>
      <c r="AF108" s="27">
        <v>0.79900000000000004</v>
      </c>
      <c r="AG108" s="27">
        <v>0.81399999999999995</v>
      </c>
      <c r="AH108" s="27">
        <v>0.79100000000000004</v>
      </c>
      <c r="AI108" s="27">
        <v>0.81399999999999995</v>
      </c>
      <c r="AJ108" s="27">
        <v>0.8</v>
      </c>
      <c r="AK108" s="27">
        <v>0.81599999999999995</v>
      </c>
      <c r="AL108" s="27">
        <v>0.81299999999999994</v>
      </c>
      <c r="AM108" s="27">
        <v>0.80500000000000005</v>
      </c>
      <c r="AN108" s="27">
        <v>0.78500000000000003</v>
      </c>
      <c r="AO108" s="27">
        <v>0.81699999999999995</v>
      </c>
      <c r="AP108" s="27">
        <v>0.80800000000000005</v>
      </c>
      <c r="AQ108" s="27">
        <v>0.81299999999999994</v>
      </c>
      <c r="AR108" s="27">
        <v>0.80100000000000005</v>
      </c>
      <c r="AS108" s="27">
        <v>0.81499999999999995</v>
      </c>
      <c r="AT108" s="27">
        <v>0.82099999999999995</v>
      </c>
      <c r="AU108" s="27">
        <v>0.81699999999999995</v>
      </c>
      <c r="AV108" s="27">
        <v>0.80600000000000005</v>
      </c>
      <c r="AW108" s="27">
        <v>0.81499999999999995</v>
      </c>
      <c r="AX108" s="27">
        <v>0.80400000000000005</v>
      </c>
      <c r="AY108" s="27">
        <v>0.80700000000000005</v>
      </c>
      <c r="AZ108" s="27">
        <v>0.81499999999999995</v>
      </c>
      <c r="BA108" s="27">
        <v>0.81200000000000006</v>
      </c>
      <c r="BB108" s="27">
        <v>0.81399999999999995</v>
      </c>
      <c r="BC108" s="27">
        <v>0.82199999999999995</v>
      </c>
      <c r="BD108" s="27">
        <v>0.79900000000000004</v>
      </c>
      <c r="BE108" s="27">
        <v>0.80300000000000005</v>
      </c>
      <c r="BF108" s="27">
        <v>0.79500000000000004</v>
      </c>
      <c r="BG108" s="27">
        <v>0.81399999999999995</v>
      </c>
      <c r="BH108" s="27">
        <v>0.80100000000000005</v>
      </c>
      <c r="BI108" s="27">
        <v>0.80500000000000005</v>
      </c>
      <c r="BJ108" s="27">
        <v>0.82199999999999995</v>
      </c>
      <c r="BK108" s="27">
        <v>0.81399999999999995</v>
      </c>
      <c r="BL108" s="27">
        <v>0.77400000000000002</v>
      </c>
      <c r="BM108" s="27"/>
      <c r="BN108" s="27"/>
      <c r="BO108" s="27"/>
      <c r="BP108" s="27"/>
    </row>
    <row r="109" spans="1:68" x14ac:dyDescent="0.25">
      <c r="A109" s="22" t="s">
        <v>259</v>
      </c>
      <c r="B109" s="15">
        <v>3</v>
      </c>
      <c r="C109" s="22" t="s">
        <v>259</v>
      </c>
      <c r="D109" s="23">
        <v>39.81</v>
      </c>
      <c r="E109" s="24">
        <v>0</v>
      </c>
      <c r="F109" s="23">
        <v>3.09</v>
      </c>
      <c r="G109" s="23">
        <v>28.55</v>
      </c>
      <c r="H109" s="25">
        <v>186.56</v>
      </c>
      <c r="I109" s="23">
        <v>249.06</v>
      </c>
      <c r="J109" s="26">
        <v>0.80541388888888898</v>
      </c>
      <c r="K109" s="24">
        <v>96652.048246345395</v>
      </c>
      <c r="L109" s="24">
        <v>256</v>
      </c>
      <c r="M109" s="23">
        <v>3.1793999999999998</v>
      </c>
      <c r="N109" s="23">
        <v>10.19</v>
      </c>
      <c r="O109" s="23">
        <v>15.87</v>
      </c>
      <c r="P109" s="23">
        <v>50.88</v>
      </c>
      <c r="Q109" s="23">
        <v>62.84</v>
      </c>
      <c r="R109" s="26">
        <v>0.45093333333333302</v>
      </c>
      <c r="S109" s="26">
        <v>1.2563472222222201</v>
      </c>
      <c r="T109" s="24">
        <v>150765.910733144</v>
      </c>
      <c r="U109" s="23">
        <v>99.5</v>
      </c>
      <c r="V109" s="24">
        <v>2890</v>
      </c>
      <c r="W109" s="15"/>
      <c r="X109" s="27">
        <v>0.78400000000000003</v>
      </c>
      <c r="Y109" s="27">
        <v>0.82099999999999995</v>
      </c>
      <c r="Z109" s="27">
        <v>0.81399999999999995</v>
      </c>
      <c r="AA109" s="27">
        <v>0.81100000000000005</v>
      </c>
      <c r="AB109" s="27">
        <v>0.80400000000000005</v>
      </c>
      <c r="AC109" s="27">
        <v>0.81200000000000006</v>
      </c>
      <c r="AD109" s="27">
        <v>0.81399999999999995</v>
      </c>
      <c r="AE109" s="27">
        <v>0.80300000000000005</v>
      </c>
      <c r="AF109" s="27">
        <v>0.80200000000000005</v>
      </c>
      <c r="AG109" s="27">
        <v>0.80500000000000005</v>
      </c>
      <c r="AH109" s="27">
        <v>0.81799999999999995</v>
      </c>
      <c r="AI109" s="27">
        <v>0.81299999999999994</v>
      </c>
      <c r="AJ109" s="27">
        <v>0.80100000000000005</v>
      </c>
      <c r="AK109" s="27">
        <v>0.81399999999999995</v>
      </c>
      <c r="AL109" s="27">
        <v>0.81299999999999994</v>
      </c>
      <c r="AM109" s="27">
        <v>0.82699999999999996</v>
      </c>
      <c r="AN109" s="27">
        <v>0.79600000000000004</v>
      </c>
      <c r="AO109" s="27">
        <v>0.80900000000000005</v>
      </c>
      <c r="AP109" s="27">
        <v>0.81399999999999995</v>
      </c>
      <c r="AQ109" s="27">
        <v>0.79600000000000004</v>
      </c>
      <c r="AR109" s="27">
        <v>0.80100000000000005</v>
      </c>
      <c r="AS109" s="27">
        <v>0.82099999999999995</v>
      </c>
      <c r="AT109" s="27">
        <v>0.80800000000000005</v>
      </c>
      <c r="AU109" s="27">
        <v>0.82399999999999995</v>
      </c>
      <c r="AV109" s="27">
        <v>0.79900000000000004</v>
      </c>
      <c r="AW109" s="27">
        <v>0.81699999999999995</v>
      </c>
      <c r="AX109" s="27">
        <v>0.80400000000000005</v>
      </c>
      <c r="AY109" s="27">
        <v>0.80400000000000005</v>
      </c>
      <c r="AZ109" s="27">
        <v>0.77100000000000002</v>
      </c>
      <c r="BA109" s="27">
        <v>0.80700000000000005</v>
      </c>
      <c r="BB109" s="27">
        <v>0.78900000000000003</v>
      </c>
      <c r="BC109" s="27">
        <v>0.81499999999999995</v>
      </c>
      <c r="BD109" s="27">
        <v>0.79900000000000004</v>
      </c>
      <c r="BE109" s="27">
        <v>0.81</v>
      </c>
      <c r="BF109" s="27">
        <v>0.81599999999999995</v>
      </c>
      <c r="BG109" s="27">
        <v>0.81399999999999995</v>
      </c>
      <c r="BH109" s="27">
        <v>0.77100000000000002</v>
      </c>
      <c r="BI109" s="27">
        <v>0.81599999999999995</v>
      </c>
      <c r="BJ109" s="27">
        <v>0.81299999999999994</v>
      </c>
      <c r="BK109" s="27">
        <v>0.79900000000000004</v>
      </c>
      <c r="BL109" s="27">
        <v>0.76200000000000001</v>
      </c>
      <c r="BM109" s="27"/>
      <c r="BN109" s="27"/>
      <c r="BO109" s="27"/>
      <c r="BP109" s="27"/>
    </row>
    <row r="110" spans="1:68" x14ac:dyDescent="0.25">
      <c r="A110" s="16" t="s">
        <v>260</v>
      </c>
      <c r="B110" s="12">
        <v>1</v>
      </c>
      <c r="C110" s="16" t="s">
        <v>260</v>
      </c>
      <c r="D110" s="17">
        <v>40.479999999999997</v>
      </c>
      <c r="E110" s="18">
        <v>0</v>
      </c>
      <c r="F110" s="17">
        <v>4.0599999999999996</v>
      </c>
      <c r="G110" s="17">
        <v>28.59</v>
      </c>
      <c r="H110" s="19">
        <v>193.4</v>
      </c>
      <c r="I110" s="17">
        <v>249.74</v>
      </c>
      <c r="J110" s="20">
        <v>0.79728378378378395</v>
      </c>
      <c r="K110" s="18">
        <v>95723.417549578895</v>
      </c>
      <c r="L110" s="18">
        <v>256</v>
      </c>
      <c r="M110" s="17">
        <v>3.0910000000000002</v>
      </c>
      <c r="N110" s="17">
        <v>9.9</v>
      </c>
      <c r="O110" s="17">
        <v>15.99</v>
      </c>
      <c r="P110" s="17">
        <v>53.43</v>
      </c>
      <c r="Q110" s="17">
        <v>63.04</v>
      </c>
      <c r="R110" s="20">
        <v>0.40989459459459499</v>
      </c>
      <c r="S110" s="20">
        <v>1.20717837837838</v>
      </c>
      <c r="T110" s="18">
        <v>144926.21570225499</v>
      </c>
      <c r="U110" s="17">
        <v>99.6</v>
      </c>
      <c r="V110" s="18">
        <v>2891</v>
      </c>
      <c r="W110" s="12"/>
      <c r="X110" s="21">
        <v>0.77300000000000002</v>
      </c>
      <c r="Y110" s="21">
        <v>0.77500000000000002</v>
      </c>
      <c r="Z110" s="21">
        <v>0.77400000000000002</v>
      </c>
      <c r="AA110" s="21">
        <v>0.80400000000000005</v>
      </c>
      <c r="AB110" s="21">
        <v>0.79500000000000004</v>
      </c>
      <c r="AC110" s="21">
        <v>0.80900000000000005</v>
      </c>
      <c r="AD110" s="21">
        <v>0.748</v>
      </c>
      <c r="AE110" s="21">
        <v>0.80300000000000005</v>
      </c>
      <c r="AF110" s="21">
        <v>0.82199999999999995</v>
      </c>
      <c r="AG110" s="21">
        <v>0.78700000000000003</v>
      </c>
      <c r="AH110" s="21">
        <v>0.78300000000000003</v>
      </c>
      <c r="AI110" s="21">
        <v>0.80600000000000005</v>
      </c>
      <c r="AJ110" s="21">
        <v>0.79400000000000004</v>
      </c>
      <c r="AK110" s="21">
        <v>0.80800000000000005</v>
      </c>
      <c r="AL110" s="21">
        <v>0.78300000000000003</v>
      </c>
      <c r="AM110" s="21">
        <v>0.80400000000000005</v>
      </c>
      <c r="AN110" s="21">
        <v>0.82199999999999995</v>
      </c>
      <c r="AO110" s="21">
        <v>0.78500000000000003</v>
      </c>
      <c r="AP110" s="21">
        <v>0.78300000000000003</v>
      </c>
      <c r="AQ110" s="21">
        <v>0.81</v>
      </c>
      <c r="AR110" s="21">
        <v>0.79400000000000004</v>
      </c>
      <c r="AS110" s="21">
        <v>0.80600000000000005</v>
      </c>
      <c r="AT110" s="21">
        <v>0.77100000000000002</v>
      </c>
      <c r="AU110" s="21">
        <v>0.80500000000000005</v>
      </c>
      <c r="AV110" s="21">
        <v>0.83399999999999996</v>
      </c>
      <c r="AW110" s="21">
        <v>0.79500000000000004</v>
      </c>
      <c r="AX110" s="21">
        <v>0.78500000000000003</v>
      </c>
      <c r="AY110" s="21">
        <v>0.81899999999999995</v>
      </c>
      <c r="AZ110" s="21">
        <v>0.79900000000000004</v>
      </c>
      <c r="BA110" s="21">
        <v>0.81499999999999995</v>
      </c>
      <c r="BB110" s="21">
        <v>0.76800000000000002</v>
      </c>
      <c r="BC110" s="21">
        <v>0.80300000000000005</v>
      </c>
      <c r="BD110" s="21">
        <v>0.82099999999999995</v>
      </c>
      <c r="BE110" s="21">
        <v>0.80700000000000005</v>
      </c>
      <c r="BF110" s="21">
        <v>0.78100000000000003</v>
      </c>
      <c r="BG110" s="21">
        <v>0.80200000000000005</v>
      </c>
      <c r="BH110" s="21">
        <v>0.79900000000000004</v>
      </c>
      <c r="BI110" s="21">
        <v>0.81799999999999995</v>
      </c>
      <c r="BJ110" s="21">
        <v>0.80200000000000005</v>
      </c>
      <c r="BK110" s="21">
        <v>0.78600000000000003</v>
      </c>
      <c r="BL110" s="21">
        <v>0.82699999999999996</v>
      </c>
      <c r="BM110" s="21">
        <v>0.71799999999999997</v>
      </c>
      <c r="BN110" s="21"/>
      <c r="BO110" s="21"/>
      <c r="BP110" s="21"/>
    </row>
    <row r="111" spans="1:68" x14ac:dyDescent="0.25">
      <c r="A111" s="16" t="s">
        <v>260</v>
      </c>
      <c r="B111" s="12">
        <v>2</v>
      </c>
      <c r="C111" s="16" t="s">
        <v>260</v>
      </c>
      <c r="D111" s="17">
        <v>39.78</v>
      </c>
      <c r="E111" s="18">
        <v>0</v>
      </c>
      <c r="F111" s="17">
        <v>4.07</v>
      </c>
      <c r="G111" s="17">
        <v>28.33</v>
      </c>
      <c r="H111" s="19">
        <v>187.91</v>
      </c>
      <c r="I111" s="17">
        <v>249.21</v>
      </c>
      <c r="J111" s="20">
        <v>0.78331891891891903</v>
      </c>
      <c r="K111" s="18">
        <v>95096.750041595005</v>
      </c>
      <c r="L111" s="18">
        <v>512</v>
      </c>
      <c r="M111" s="17">
        <v>2.9811000000000001</v>
      </c>
      <c r="N111" s="17">
        <v>9.9499999999999993</v>
      </c>
      <c r="O111" s="17">
        <v>15.97</v>
      </c>
      <c r="P111" s="17">
        <v>53.46</v>
      </c>
      <c r="Q111" s="17">
        <v>63.03</v>
      </c>
      <c r="R111" s="20">
        <v>0.40455135135135101</v>
      </c>
      <c r="S111" s="20">
        <v>1.1878702702702699</v>
      </c>
      <c r="T111" s="18">
        <v>144179.856913094</v>
      </c>
      <c r="U111" s="17">
        <v>99.4</v>
      </c>
      <c r="V111" s="18">
        <v>2888</v>
      </c>
      <c r="W111" s="12"/>
      <c r="X111" s="21">
        <v>0.71099999999999997</v>
      </c>
      <c r="Y111" s="21">
        <v>0.76400000000000001</v>
      </c>
      <c r="Z111" s="21">
        <v>0.746</v>
      </c>
      <c r="AA111" s="21">
        <v>0.74099999999999999</v>
      </c>
      <c r="AB111" s="21">
        <v>0.75600000000000001</v>
      </c>
      <c r="AC111" s="21">
        <v>0.75600000000000001</v>
      </c>
      <c r="AD111" s="21">
        <v>0.76200000000000001</v>
      </c>
      <c r="AE111" s="21">
        <v>0.75800000000000001</v>
      </c>
      <c r="AF111" s="21">
        <v>0.76900000000000002</v>
      </c>
      <c r="AG111" s="21">
        <v>0.82499999999999996</v>
      </c>
      <c r="AH111" s="21">
        <v>0.80300000000000005</v>
      </c>
      <c r="AI111" s="21">
        <v>0.78500000000000003</v>
      </c>
      <c r="AJ111" s="21">
        <v>0.78800000000000003</v>
      </c>
      <c r="AK111" s="21">
        <v>0.79</v>
      </c>
      <c r="AL111" s="21">
        <v>0.80900000000000005</v>
      </c>
      <c r="AM111" s="21">
        <v>0.80400000000000005</v>
      </c>
      <c r="AN111" s="21">
        <v>0.77600000000000002</v>
      </c>
      <c r="AO111" s="21">
        <v>0.82099999999999995</v>
      </c>
      <c r="AP111" s="21">
        <v>0.80700000000000005</v>
      </c>
      <c r="AQ111" s="21">
        <v>0.79100000000000004</v>
      </c>
      <c r="AR111" s="21">
        <v>0.77800000000000002</v>
      </c>
      <c r="AS111" s="21">
        <v>0.79800000000000004</v>
      </c>
      <c r="AT111" s="21">
        <v>0.78800000000000003</v>
      </c>
      <c r="AU111" s="21">
        <v>0.81399999999999995</v>
      </c>
      <c r="AV111" s="21">
        <v>0.755</v>
      </c>
      <c r="AW111" s="21">
        <v>0.82099999999999995</v>
      </c>
      <c r="AX111" s="21">
        <v>0.81200000000000006</v>
      </c>
      <c r="AY111" s="21">
        <v>0.80600000000000005</v>
      </c>
      <c r="AZ111" s="21">
        <v>0.80800000000000005</v>
      </c>
      <c r="BA111" s="21">
        <v>0.77400000000000002</v>
      </c>
      <c r="BB111" s="21">
        <v>0.80900000000000005</v>
      </c>
      <c r="BC111" s="21">
        <v>0.81</v>
      </c>
      <c r="BD111" s="21">
        <v>0.77400000000000002</v>
      </c>
      <c r="BE111" s="21">
        <v>0.78900000000000003</v>
      </c>
      <c r="BF111" s="21">
        <v>0.80800000000000005</v>
      </c>
      <c r="BG111" s="21">
        <v>0.80500000000000005</v>
      </c>
      <c r="BH111" s="21">
        <v>0.81599999999999995</v>
      </c>
      <c r="BI111" s="21">
        <v>0.77900000000000003</v>
      </c>
      <c r="BJ111" s="21">
        <v>0.80500000000000005</v>
      </c>
      <c r="BK111" s="21">
        <v>0.81799999999999995</v>
      </c>
      <c r="BL111" s="21">
        <v>0.74</v>
      </c>
      <c r="BM111" s="21">
        <v>0.43099999999999999</v>
      </c>
      <c r="BN111" s="21"/>
      <c r="BO111" s="21"/>
      <c r="BP111" s="21"/>
    </row>
    <row r="112" spans="1:68" x14ac:dyDescent="0.25">
      <c r="A112" s="16" t="s">
        <v>260</v>
      </c>
      <c r="B112" s="12">
        <v>3</v>
      </c>
      <c r="C112" s="16" t="s">
        <v>260</v>
      </c>
      <c r="D112" s="17">
        <v>39.75</v>
      </c>
      <c r="E112" s="18">
        <v>0</v>
      </c>
      <c r="F112" s="17">
        <v>4.05</v>
      </c>
      <c r="G112" s="17">
        <v>28.6</v>
      </c>
      <c r="H112" s="19">
        <v>193.43</v>
      </c>
      <c r="I112" s="17">
        <v>249.74</v>
      </c>
      <c r="J112" s="20">
        <v>0.78628108108108097</v>
      </c>
      <c r="K112" s="18">
        <v>95261.590046276993</v>
      </c>
      <c r="L112" s="18">
        <v>256</v>
      </c>
      <c r="M112" s="17">
        <v>3.0583</v>
      </c>
      <c r="N112" s="17">
        <v>9.89</v>
      </c>
      <c r="O112" s="17">
        <v>15.99</v>
      </c>
      <c r="P112" s="17">
        <v>53.57</v>
      </c>
      <c r="Q112" s="17">
        <v>63.03</v>
      </c>
      <c r="R112" s="20">
        <v>0.40524594594594598</v>
      </c>
      <c r="S112" s="20">
        <v>1.19152702702703</v>
      </c>
      <c r="T112" s="18">
        <v>144353.95017596401</v>
      </c>
      <c r="U112" s="17">
        <v>99.3</v>
      </c>
      <c r="V112" s="18">
        <v>2885</v>
      </c>
      <c r="W112" s="12"/>
      <c r="X112" s="21">
        <v>0.747</v>
      </c>
      <c r="Y112" s="21">
        <v>0.81899999999999995</v>
      </c>
      <c r="Z112" s="21">
        <v>0.80600000000000005</v>
      </c>
      <c r="AA112" s="21">
        <v>0.76900000000000002</v>
      </c>
      <c r="AB112" s="21">
        <v>0.79</v>
      </c>
      <c r="AC112" s="21">
        <v>0.79600000000000004</v>
      </c>
      <c r="AD112" s="21">
        <v>0.79900000000000004</v>
      </c>
      <c r="AE112" s="21">
        <v>0.80400000000000005</v>
      </c>
      <c r="AF112" s="21">
        <v>0.76700000000000002</v>
      </c>
      <c r="AG112" s="21">
        <v>0.81399999999999995</v>
      </c>
      <c r="AH112" s="21">
        <v>0.78700000000000003</v>
      </c>
      <c r="AI112" s="21">
        <v>0.78400000000000003</v>
      </c>
      <c r="AJ112" s="21">
        <v>0.79700000000000004</v>
      </c>
      <c r="AK112" s="21">
        <v>0.77600000000000002</v>
      </c>
      <c r="AL112" s="21">
        <v>0.8</v>
      </c>
      <c r="AM112" s="21">
        <v>0.81</v>
      </c>
      <c r="AN112" s="21">
        <v>0.75</v>
      </c>
      <c r="AO112" s="21">
        <v>0.79800000000000004</v>
      </c>
      <c r="AP112" s="21">
        <v>0.79900000000000004</v>
      </c>
      <c r="AQ112" s="21">
        <v>0.79300000000000004</v>
      </c>
      <c r="AR112" s="21">
        <v>0.78400000000000003</v>
      </c>
      <c r="AS112" s="21">
        <v>0.80600000000000005</v>
      </c>
      <c r="AT112" s="21">
        <v>0.79900000000000004</v>
      </c>
      <c r="AU112" s="21">
        <v>0.80600000000000005</v>
      </c>
      <c r="AV112" s="21">
        <v>0.751</v>
      </c>
      <c r="AW112" s="21">
        <v>0.81200000000000006</v>
      </c>
      <c r="AX112" s="21">
        <v>0.81699999999999995</v>
      </c>
      <c r="AY112" s="21">
        <v>0.80300000000000005</v>
      </c>
      <c r="AZ112" s="21">
        <v>0.81699999999999995</v>
      </c>
      <c r="BA112" s="21">
        <v>0.77400000000000002</v>
      </c>
      <c r="BB112" s="21">
        <v>0.80500000000000005</v>
      </c>
      <c r="BC112" s="21">
        <v>0.82299999999999995</v>
      </c>
      <c r="BD112" s="21">
        <v>0.77600000000000002</v>
      </c>
      <c r="BE112" s="21">
        <v>0.77700000000000002</v>
      </c>
      <c r="BF112" s="21">
        <v>0.81799999999999995</v>
      </c>
      <c r="BG112" s="21">
        <v>0.79800000000000004</v>
      </c>
      <c r="BH112" s="21">
        <v>0.81399999999999995</v>
      </c>
      <c r="BI112" s="21">
        <v>0.77200000000000002</v>
      </c>
      <c r="BJ112" s="21">
        <v>0.80700000000000005</v>
      </c>
      <c r="BK112" s="21">
        <v>0.81499999999999995</v>
      </c>
      <c r="BL112" s="21">
        <v>0.755</v>
      </c>
      <c r="BM112" s="21">
        <v>0.48699999999999999</v>
      </c>
      <c r="BN112" s="21"/>
      <c r="BO112" s="21"/>
      <c r="BP112" s="21"/>
    </row>
    <row r="113" spans="1:68" x14ac:dyDescent="0.25">
      <c r="A113" s="22" t="s">
        <v>261</v>
      </c>
      <c r="B113" s="15">
        <v>1</v>
      </c>
      <c r="C113" s="22" t="s">
        <v>262</v>
      </c>
      <c r="D113" s="23">
        <v>39.81</v>
      </c>
      <c r="E113" s="24">
        <v>0</v>
      </c>
      <c r="F113" s="23">
        <v>3.02</v>
      </c>
      <c r="G113" s="23">
        <v>30.57</v>
      </c>
      <c r="H113" s="25">
        <v>196.82</v>
      </c>
      <c r="I113" s="23">
        <v>250.15</v>
      </c>
      <c r="J113" s="26">
        <v>0.85073611111111103</v>
      </c>
      <c r="K113" s="24">
        <v>102103.78068147</v>
      </c>
      <c r="L113" s="24">
        <v>512</v>
      </c>
      <c r="M113" s="23">
        <v>3.3635999999999999</v>
      </c>
      <c r="N113" s="23">
        <v>9.5399999999999991</v>
      </c>
      <c r="O113" s="23">
        <v>15.76</v>
      </c>
      <c r="P113" s="23">
        <v>50.88</v>
      </c>
      <c r="Q113" s="23">
        <v>62.98</v>
      </c>
      <c r="R113" s="26">
        <v>0.44931388888888901</v>
      </c>
      <c r="S113" s="26">
        <v>1.3000499999999999</v>
      </c>
      <c r="T113" s="24">
        <v>156027.275513331</v>
      </c>
      <c r="U113" s="23">
        <v>99.6</v>
      </c>
      <c r="V113" s="24">
        <v>2892</v>
      </c>
      <c r="W113" s="15"/>
      <c r="X113" s="27">
        <v>0.85099999999999998</v>
      </c>
      <c r="Y113" s="27">
        <v>0.85</v>
      </c>
      <c r="Z113" s="27">
        <v>0.84399999999999997</v>
      </c>
      <c r="AA113" s="27">
        <v>0.84199999999999997</v>
      </c>
      <c r="AB113" s="27">
        <v>0.82699999999999996</v>
      </c>
      <c r="AC113" s="27">
        <v>0.85499999999999998</v>
      </c>
      <c r="AD113" s="27">
        <v>0.84299999999999997</v>
      </c>
      <c r="AE113" s="27">
        <v>0.86</v>
      </c>
      <c r="AF113" s="27">
        <v>0.83699999999999997</v>
      </c>
      <c r="AG113" s="27">
        <v>0.86</v>
      </c>
      <c r="AH113" s="27">
        <v>0.84799999999999998</v>
      </c>
      <c r="AI113" s="27">
        <v>0.85799999999999998</v>
      </c>
      <c r="AJ113" s="27">
        <v>0.85099999999999998</v>
      </c>
      <c r="AK113" s="27">
        <v>0.85599999999999998</v>
      </c>
      <c r="AL113" s="27">
        <v>0.86099999999999999</v>
      </c>
      <c r="AM113" s="27">
        <v>0.86</v>
      </c>
      <c r="AN113" s="27">
        <v>0.85099999999999998</v>
      </c>
      <c r="AO113" s="27">
        <v>0.84699999999999998</v>
      </c>
      <c r="AP113" s="27">
        <v>0.84199999999999997</v>
      </c>
      <c r="AQ113" s="27">
        <v>0.84499999999999997</v>
      </c>
      <c r="AR113" s="27">
        <v>0.84199999999999997</v>
      </c>
      <c r="AS113" s="27">
        <v>0.86399999999999999</v>
      </c>
      <c r="AT113" s="27">
        <v>0.86199999999999999</v>
      </c>
      <c r="AU113" s="27">
        <v>0.86699999999999999</v>
      </c>
      <c r="AV113" s="27">
        <v>0.85299999999999998</v>
      </c>
      <c r="AW113" s="27">
        <v>0.86599999999999999</v>
      </c>
      <c r="AX113" s="27">
        <v>0.85799999999999998</v>
      </c>
      <c r="AY113" s="27">
        <v>0.85799999999999998</v>
      </c>
      <c r="AZ113" s="27">
        <v>0.83199999999999996</v>
      </c>
      <c r="BA113" s="27">
        <v>0.84399999999999997</v>
      </c>
      <c r="BB113" s="27">
        <v>0.85699999999999998</v>
      </c>
      <c r="BC113" s="27">
        <v>0.85799999999999998</v>
      </c>
      <c r="BD113" s="27">
        <v>0.85</v>
      </c>
      <c r="BE113" s="27">
        <v>0.84799999999999998</v>
      </c>
      <c r="BF113" s="27">
        <v>0.85399999999999998</v>
      </c>
      <c r="BG113" s="27">
        <v>0.86799999999999999</v>
      </c>
      <c r="BH113" s="27">
        <v>0.83699999999999997</v>
      </c>
      <c r="BI113" s="27">
        <v>0.83399999999999996</v>
      </c>
      <c r="BJ113" s="27">
        <v>0.84299999999999997</v>
      </c>
      <c r="BK113" s="27">
        <v>0.85199999999999998</v>
      </c>
      <c r="BL113" s="27">
        <v>0.80600000000000005</v>
      </c>
      <c r="BM113" s="27"/>
      <c r="BN113" s="27"/>
      <c r="BO113" s="27"/>
      <c r="BP113" s="27"/>
    </row>
    <row r="114" spans="1:68" x14ac:dyDescent="0.25">
      <c r="A114" s="22" t="s">
        <v>261</v>
      </c>
      <c r="B114" s="15">
        <v>2</v>
      </c>
      <c r="C114" s="22" t="s">
        <v>262</v>
      </c>
      <c r="D114" s="23">
        <v>39.78</v>
      </c>
      <c r="E114" s="24">
        <v>0</v>
      </c>
      <c r="F114" s="23">
        <v>3.11</v>
      </c>
      <c r="G114" s="23">
        <v>30.46</v>
      </c>
      <c r="H114" s="25">
        <v>195.32</v>
      </c>
      <c r="I114" s="23">
        <v>249.98</v>
      </c>
      <c r="J114" s="26">
        <v>0.84453055555555601</v>
      </c>
      <c r="K114" s="24">
        <v>101377.224298544</v>
      </c>
      <c r="L114" s="24">
        <v>2097152</v>
      </c>
      <c r="M114" s="23">
        <v>3.3372000000000002</v>
      </c>
      <c r="N114" s="23">
        <v>9.74</v>
      </c>
      <c r="O114" s="23">
        <v>15.82</v>
      </c>
      <c r="P114" s="23">
        <v>51.65</v>
      </c>
      <c r="Q114" s="23">
        <v>63.06</v>
      </c>
      <c r="R114" s="26">
        <v>0.450227777777778</v>
      </c>
      <c r="S114" s="26">
        <v>1.2947583333333299</v>
      </c>
      <c r="T114" s="24">
        <v>155422.26808724299</v>
      </c>
      <c r="U114" s="23">
        <v>99.6</v>
      </c>
      <c r="V114" s="24">
        <v>2893</v>
      </c>
      <c r="W114" s="15"/>
      <c r="X114" s="27">
        <v>0.92700000000000005</v>
      </c>
      <c r="Y114" s="27">
        <v>0.83399999999999996</v>
      </c>
      <c r="Z114" s="27">
        <v>0.84099999999999997</v>
      </c>
      <c r="AA114" s="27">
        <v>0.85599999999999998</v>
      </c>
      <c r="AB114" s="27">
        <v>0.84799999999999998</v>
      </c>
      <c r="AC114" s="27">
        <v>0.85399999999999998</v>
      </c>
      <c r="AD114" s="27">
        <v>0.85499999999999998</v>
      </c>
      <c r="AE114" s="27">
        <v>0.85499999999999998</v>
      </c>
      <c r="AF114" s="27">
        <v>0.82499999999999996</v>
      </c>
      <c r="AG114" s="27">
        <v>0.84799999999999998</v>
      </c>
      <c r="AH114" s="27">
        <v>0.85899999999999999</v>
      </c>
      <c r="AI114" s="27">
        <v>0.85</v>
      </c>
      <c r="AJ114" s="27">
        <v>0.83799999999999997</v>
      </c>
      <c r="AK114" s="27">
        <v>0.86599999999999999</v>
      </c>
      <c r="AL114" s="27">
        <v>0.85499999999999998</v>
      </c>
      <c r="AM114" s="27">
        <v>0.86099999999999999</v>
      </c>
      <c r="AN114" s="27">
        <v>0.86199999999999999</v>
      </c>
      <c r="AO114" s="27">
        <v>0.83699999999999997</v>
      </c>
      <c r="AP114" s="27">
        <v>0.85799999999999998</v>
      </c>
      <c r="AQ114" s="27">
        <v>0.86199999999999999</v>
      </c>
      <c r="AR114" s="27">
        <v>0.85399999999999998</v>
      </c>
      <c r="AS114" s="27">
        <v>0.81399999999999995</v>
      </c>
      <c r="AT114" s="27">
        <v>0.79900000000000004</v>
      </c>
      <c r="AU114" s="27">
        <v>0.81499999999999995</v>
      </c>
      <c r="AV114" s="27">
        <v>0.80600000000000005</v>
      </c>
      <c r="AW114" s="27">
        <v>0.81399999999999995</v>
      </c>
      <c r="AX114" s="27">
        <v>0.85499999999999998</v>
      </c>
      <c r="AY114" s="27">
        <v>0.86</v>
      </c>
      <c r="AZ114" s="27">
        <v>0.85499999999999998</v>
      </c>
      <c r="BA114" s="27">
        <v>0.84499999999999997</v>
      </c>
      <c r="BB114" s="27">
        <v>0.85899999999999999</v>
      </c>
      <c r="BC114" s="27">
        <v>0.85099999999999998</v>
      </c>
      <c r="BD114" s="27">
        <v>0.85499999999999998</v>
      </c>
      <c r="BE114" s="27">
        <v>0.84299999999999997</v>
      </c>
      <c r="BF114" s="27">
        <v>0.84</v>
      </c>
      <c r="BG114" s="27">
        <v>0.84499999999999997</v>
      </c>
      <c r="BH114" s="27">
        <v>0.85899999999999999</v>
      </c>
      <c r="BI114" s="27">
        <v>0.86099999999999999</v>
      </c>
      <c r="BJ114" s="27">
        <v>0.85399999999999998</v>
      </c>
      <c r="BK114" s="27">
        <v>0.86399999999999999</v>
      </c>
      <c r="BL114" s="27">
        <v>0.77400000000000002</v>
      </c>
      <c r="BM114" s="27"/>
      <c r="BN114" s="27"/>
      <c r="BO114" s="27"/>
      <c r="BP114" s="27"/>
    </row>
    <row r="115" spans="1:68" x14ac:dyDescent="0.25">
      <c r="A115" s="22" t="s">
        <v>261</v>
      </c>
      <c r="B115" s="15">
        <v>3</v>
      </c>
      <c r="C115" s="22" t="s">
        <v>262</v>
      </c>
      <c r="D115" s="23">
        <v>39.78</v>
      </c>
      <c r="E115" s="24">
        <v>0</v>
      </c>
      <c r="F115" s="23">
        <v>2</v>
      </c>
      <c r="G115" s="23">
        <v>29.91</v>
      </c>
      <c r="H115" s="25">
        <v>191.82</v>
      </c>
      <c r="I115" s="23">
        <v>249.62</v>
      </c>
      <c r="J115" s="26">
        <v>0.85609166666666703</v>
      </c>
      <c r="K115" s="24">
        <v>102754.76216999</v>
      </c>
      <c r="L115" s="24">
        <v>512</v>
      </c>
      <c r="M115" s="23">
        <v>3.2602000000000002</v>
      </c>
      <c r="N115" s="23">
        <v>8.89</v>
      </c>
      <c r="O115" s="23">
        <v>15.66</v>
      </c>
      <c r="P115" s="23">
        <v>50.57</v>
      </c>
      <c r="Q115" s="23">
        <v>62.82</v>
      </c>
      <c r="R115" s="26">
        <v>0.45667777777777802</v>
      </c>
      <c r="S115" s="26">
        <v>1.31276944444444</v>
      </c>
      <c r="T115" s="24">
        <v>157567.84003564701</v>
      </c>
      <c r="U115" s="23">
        <v>99.5</v>
      </c>
      <c r="V115" s="24">
        <v>2889</v>
      </c>
      <c r="W115" s="15"/>
      <c r="X115" s="27">
        <v>0.82699999999999996</v>
      </c>
      <c r="Y115" s="27">
        <v>0.83399999999999996</v>
      </c>
      <c r="Z115" s="27">
        <v>0.81499999999999995</v>
      </c>
      <c r="AA115" s="27">
        <v>0.84899999999999998</v>
      </c>
      <c r="AB115" s="27">
        <v>0.83599999999999997</v>
      </c>
      <c r="AC115" s="27">
        <v>0.81699999999999995</v>
      </c>
      <c r="AD115" s="27">
        <v>0.85499999999999998</v>
      </c>
      <c r="AE115" s="27">
        <v>0.85699999999999998</v>
      </c>
      <c r="AF115" s="27">
        <v>0.83599999999999997</v>
      </c>
      <c r="AG115" s="27">
        <v>0.86</v>
      </c>
      <c r="AH115" s="27">
        <v>0.83899999999999997</v>
      </c>
      <c r="AI115" s="27">
        <v>0.84499999999999997</v>
      </c>
      <c r="AJ115" s="27">
        <v>0.84399999999999997</v>
      </c>
      <c r="AK115" s="27">
        <v>0.85899999999999999</v>
      </c>
      <c r="AL115" s="27">
        <v>0.85199999999999998</v>
      </c>
      <c r="AM115" s="27">
        <v>0.83399999999999996</v>
      </c>
      <c r="AN115" s="27">
        <v>0.85099999999999998</v>
      </c>
      <c r="AO115" s="27">
        <v>0.86</v>
      </c>
      <c r="AP115" s="27">
        <v>0.86099999999999999</v>
      </c>
      <c r="AQ115" s="27">
        <v>0.84699999999999998</v>
      </c>
      <c r="AR115" s="27">
        <v>0.82899999999999996</v>
      </c>
      <c r="AS115" s="27">
        <v>0.80400000000000005</v>
      </c>
      <c r="AT115" s="27">
        <v>0.83399999999999996</v>
      </c>
      <c r="AU115" s="27">
        <v>0.82899999999999996</v>
      </c>
      <c r="AV115" s="27">
        <v>0.83399999999999996</v>
      </c>
      <c r="AW115" s="27">
        <v>0.83799999999999997</v>
      </c>
      <c r="AX115" s="27">
        <v>0.86099999999999999</v>
      </c>
      <c r="AY115" s="27">
        <v>0.84699999999999998</v>
      </c>
      <c r="AZ115" s="27">
        <v>0.85699999999999998</v>
      </c>
      <c r="BA115" s="27">
        <v>0.85299999999999998</v>
      </c>
      <c r="BB115" s="27">
        <v>0.9</v>
      </c>
      <c r="BC115" s="27">
        <v>0.95299999999999996</v>
      </c>
      <c r="BD115" s="27">
        <v>0.94</v>
      </c>
      <c r="BE115" s="27">
        <v>0.93100000000000005</v>
      </c>
      <c r="BF115" s="27">
        <v>0.93100000000000005</v>
      </c>
      <c r="BG115" s="27">
        <v>0.89</v>
      </c>
      <c r="BH115" s="27">
        <v>0.85899999999999999</v>
      </c>
      <c r="BI115" s="27">
        <v>0.84299999999999997</v>
      </c>
      <c r="BJ115" s="27">
        <v>0.84499999999999997</v>
      </c>
      <c r="BK115" s="27">
        <v>0.84399999999999997</v>
      </c>
      <c r="BL115" s="27">
        <v>0.77900000000000003</v>
      </c>
      <c r="BM115" s="27"/>
      <c r="BN115" s="27"/>
      <c r="BO115" s="27"/>
      <c r="BP115" s="27"/>
    </row>
    <row r="116" spans="1:68" x14ac:dyDescent="0.25">
      <c r="A116" s="16" t="s">
        <v>263</v>
      </c>
      <c r="B116" s="12">
        <v>1</v>
      </c>
      <c r="C116" s="16" t="s">
        <v>263</v>
      </c>
      <c r="D116" s="17">
        <v>39.81</v>
      </c>
      <c r="E116" s="18">
        <v>0</v>
      </c>
      <c r="F116" s="17">
        <v>3.07</v>
      </c>
      <c r="G116" s="17">
        <v>30.55</v>
      </c>
      <c r="H116" s="19">
        <v>195.95</v>
      </c>
      <c r="I116" s="17">
        <v>250.06</v>
      </c>
      <c r="J116" s="20">
        <v>0.85065000000000002</v>
      </c>
      <c r="K116" s="18">
        <v>102089.700718943</v>
      </c>
      <c r="L116" s="18">
        <v>512</v>
      </c>
      <c r="M116" s="17">
        <v>3.3807999999999998</v>
      </c>
      <c r="N116" s="17">
        <v>9.65</v>
      </c>
      <c r="O116" s="17">
        <v>15.81</v>
      </c>
      <c r="P116" s="17">
        <v>51.45</v>
      </c>
      <c r="Q116" s="17">
        <v>63</v>
      </c>
      <c r="R116" s="20">
        <v>0.449761111111111</v>
      </c>
      <c r="S116" s="20">
        <v>1.3004111111111101</v>
      </c>
      <c r="T116" s="18">
        <v>156067.43576882401</v>
      </c>
      <c r="U116" s="17">
        <v>99.4</v>
      </c>
      <c r="V116" s="18">
        <v>2888</v>
      </c>
      <c r="W116" s="12"/>
      <c r="X116" s="21">
        <v>0.80300000000000005</v>
      </c>
      <c r="Y116" s="21">
        <v>0.84399999999999997</v>
      </c>
      <c r="Z116" s="21">
        <v>0.85299999999999998</v>
      </c>
      <c r="AA116" s="21">
        <v>0.84399999999999997</v>
      </c>
      <c r="AB116" s="21">
        <v>0.85399999999999998</v>
      </c>
      <c r="AC116" s="21">
        <v>0.93300000000000005</v>
      </c>
      <c r="AD116" s="21">
        <v>0.83699999999999997</v>
      </c>
      <c r="AE116" s="21">
        <v>0.86</v>
      </c>
      <c r="AF116" s="21">
        <v>0.84</v>
      </c>
      <c r="AG116" s="21">
        <v>0.86399999999999999</v>
      </c>
      <c r="AH116" s="21">
        <v>0.874</v>
      </c>
      <c r="AI116" s="21">
        <v>0.875</v>
      </c>
      <c r="AJ116" s="21">
        <v>0.84599999999999997</v>
      </c>
      <c r="AK116" s="21">
        <v>0.85499999999999998</v>
      </c>
      <c r="AL116" s="21">
        <v>0.84299999999999997</v>
      </c>
      <c r="AM116" s="21">
        <v>0.85199999999999998</v>
      </c>
      <c r="AN116" s="21">
        <v>0.83699999999999997</v>
      </c>
      <c r="AO116" s="21">
        <v>0.84899999999999998</v>
      </c>
      <c r="AP116" s="21">
        <v>0.86399999999999999</v>
      </c>
      <c r="AQ116" s="21">
        <v>0.85899999999999999</v>
      </c>
      <c r="AR116" s="21">
        <v>0.85099999999999998</v>
      </c>
      <c r="AS116" s="21">
        <v>0.85299999999999998</v>
      </c>
      <c r="AT116" s="21">
        <v>0.84</v>
      </c>
      <c r="AU116" s="21">
        <v>0.84699999999999998</v>
      </c>
      <c r="AV116" s="21">
        <v>0.84</v>
      </c>
      <c r="AW116" s="21">
        <v>0.85599999999999998</v>
      </c>
      <c r="AX116" s="21">
        <v>0.85699999999999998</v>
      </c>
      <c r="AY116" s="21">
        <v>0.86199999999999999</v>
      </c>
      <c r="AZ116" s="21">
        <v>0.85299999999999998</v>
      </c>
      <c r="BA116" s="21">
        <v>0.84099999999999997</v>
      </c>
      <c r="BB116" s="21">
        <v>0.82599999999999996</v>
      </c>
      <c r="BC116" s="21">
        <v>0.85099999999999998</v>
      </c>
      <c r="BD116" s="21">
        <v>0.85499999999999998</v>
      </c>
      <c r="BE116" s="21">
        <v>0.84599999999999997</v>
      </c>
      <c r="BF116" s="21">
        <v>0.85</v>
      </c>
      <c r="BG116" s="21">
        <v>0.84699999999999998</v>
      </c>
      <c r="BH116" s="21">
        <v>0.82299999999999995</v>
      </c>
      <c r="BI116" s="21">
        <v>0.83099999999999996</v>
      </c>
      <c r="BJ116" s="21">
        <v>0.84099999999999997</v>
      </c>
      <c r="BK116" s="21">
        <v>0.85</v>
      </c>
      <c r="BL116" s="21">
        <v>0.81599999999999995</v>
      </c>
      <c r="BM116" s="21"/>
      <c r="BN116" s="21"/>
      <c r="BO116" s="21"/>
      <c r="BP116" s="21"/>
    </row>
    <row r="117" spans="1:68" x14ac:dyDescent="0.25">
      <c r="A117" s="16" t="s">
        <v>263</v>
      </c>
      <c r="B117" s="12">
        <v>2</v>
      </c>
      <c r="C117" s="16" t="s">
        <v>263</v>
      </c>
      <c r="D117" s="17">
        <v>39.78</v>
      </c>
      <c r="E117" s="18">
        <v>0</v>
      </c>
      <c r="F117" s="17">
        <v>2.93</v>
      </c>
      <c r="G117" s="17">
        <v>30.48</v>
      </c>
      <c r="H117" s="19">
        <v>195.7</v>
      </c>
      <c r="I117" s="17">
        <v>250.05</v>
      </c>
      <c r="J117" s="20">
        <v>0.84739166666666699</v>
      </c>
      <c r="K117" s="18">
        <v>101706.79562939001</v>
      </c>
      <c r="L117" s="18">
        <v>2097152</v>
      </c>
      <c r="M117" s="17">
        <v>3.3586999999999998</v>
      </c>
      <c r="N117" s="17">
        <v>9.5399999999999991</v>
      </c>
      <c r="O117" s="17">
        <v>15.77</v>
      </c>
      <c r="P117" s="17">
        <v>51.23</v>
      </c>
      <c r="Q117" s="17">
        <v>63.06</v>
      </c>
      <c r="R117" s="20">
        <v>0.449116666666667</v>
      </c>
      <c r="S117" s="20">
        <v>1.29650833333333</v>
      </c>
      <c r="T117" s="18">
        <v>155613.362693723</v>
      </c>
      <c r="U117" s="17">
        <v>99.5</v>
      </c>
      <c r="V117" s="18">
        <v>2889</v>
      </c>
      <c r="W117" s="12"/>
      <c r="X117" s="21">
        <v>0.96899999999999997</v>
      </c>
      <c r="Y117" s="21">
        <v>0.85799999999999998</v>
      </c>
      <c r="Z117" s="21">
        <v>0.86799999999999999</v>
      </c>
      <c r="AA117" s="21">
        <v>0.84799999999999998</v>
      </c>
      <c r="AB117" s="21">
        <v>0.80200000000000005</v>
      </c>
      <c r="AC117" s="21">
        <v>0.84399999999999997</v>
      </c>
      <c r="AD117" s="21">
        <v>0.84099999999999997</v>
      </c>
      <c r="AE117" s="21">
        <v>0.85599999999999998</v>
      </c>
      <c r="AF117" s="21">
        <v>0.84599999999999997</v>
      </c>
      <c r="AG117" s="21">
        <v>0.86499999999999999</v>
      </c>
      <c r="AH117" s="21">
        <v>0.83499999999999996</v>
      </c>
      <c r="AI117" s="21">
        <v>0.86</v>
      </c>
      <c r="AJ117" s="21">
        <v>0.83499999999999996</v>
      </c>
      <c r="AK117" s="21">
        <v>0.84899999999999998</v>
      </c>
      <c r="AL117" s="21">
        <v>0.86899999999999999</v>
      </c>
      <c r="AM117" s="21">
        <v>0.85599999999999998</v>
      </c>
      <c r="AN117" s="21">
        <v>0.83699999999999997</v>
      </c>
      <c r="AO117" s="21">
        <v>0.84799999999999998</v>
      </c>
      <c r="AP117" s="21">
        <v>0.86099999999999999</v>
      </c>
      <c r="AQ117" s="21">
        <v>0.84299999999999997</v>
      </c>
      <c r="AR117" s="21">
        <v>0.85899999999999999</v>
      </c>
      <c r="AS117" s="21">
        <v>0.83499999999999996</v>
      </c>
      <c r="AT117" s="21">
        <v>0.85699999999999998</v>
      </c>
      <c r="AU117" s="21">
        <v>0.85499999999999998</v>
      </c>
      <c r="AV117" s="21">
        <v>0.83399999999999996</v>
      </c>
      <c r="AW117" s="21">
        <v>0.83399999999999996</v>
      </c>
      <c r="AX117" s="21">
        <v>0.83399999999999996</v>
      </c>
      <c r="AY117" s="21">
        <v>0.85399999999999998</v>
      </c>
      <c r="AZ117" s="21">
        <v>0.85199999999999998</v>
      </c>
      <c r="BA117" s="21">
        <v>0.82699999999999996</v>
      </c>
      <c r="BB117" s="21">
        <v>0.86</v>
      </c>
      <c r="BC117" s="21">
        <v>0.85099999999999998</v>
      </c>
      <c r="BD117" s="21">
        <v>0.84899999999999998</v>
      </c>
      <c r="BE117" s="21">
        <v>0.85699999999999998</v>
      </c>
      <c r="BF117" s="21">
        <v>0.86099999999999999</v>
      </c>
      <c r="BG117" s="21">
        <v>0.85099999999999998</v>
      </c>
      <c r="BH117" s="21">
        <v>0.84699999999999998</v>
      </c>
      <c r="BI117" s="21">
        <v>0.84</v>
      </c>
      <c r="BJ117" s="21">
        <v>0.86</v>
      </c>
      <c r="BK117" s="21">
        <v>0.85199999999999998</v>
      </c>
      <c r="BL117" s="21">
        <v>0.79700000000000004</v>
      </c>
      <c r="BM117" s="21"/>
      <c r="BN117" s="21"/>
      <c r="BO117" s="21"/>
      <c r="BP117" s="21"/>
    </row>
    <row r="118" spans="1:68" x14ac:dyDescent="0.25">
      <c r="A118" s="16" t="s">
        <v>263</v>
      </c>
      <c r="B118" s="12">
        <v>3</v>
      </c>
      <c r="C118" s="16" t="s">
        <v>263</v>
      </c>
      <c r="D118" s="17">
        <v>39.78</v>
      </c>
      <c r="E118" s="18">
        <v>0</v>
      </c>
      <c r="F118" s="17">
        <v>2.92</v>
      </c>
      <c r="G118" s="17">
        <v>30.62</v>
      </c>
      <c r="H118" s="19">
        <v>196.13</v>
      </c>
      <c r="I118" s="17">
        <v>250.1</v>
      </c>
      <c r="J118" s="20">
        <v>0.85035555555555598</v>
      </c>
      <c r="K118" s="18">
        <v>102062.831315217</v>
      </c>
      <c r="L118" s="18">
        <v>512</v>
      </c>
      <c r="M118" s="17">
        <v>3.3725999999999998</v>
      </c>
      <c r="N118" s="17">
        <v>9.52</v>
      </c>
      <c r="O118" s="17">
        <v>15.78</v>
      </c>
      <c r="P118" s="17">
        <v>51.11</v>
      </c>
      <c r="Q118" s="17">
        <v>63.02</v>
      </c>
      <c r="R118" s="20">
        <v>0.44987777777777799</v>
      </c>
      <c r="S118" s="20">
        <v>1.30023333333333</v>
      </c>
      <c r="T118" s="18">
        <v>156058.534679984</v>
      </c>
      <c r="U118" s="17">
        <v>99.5</v>
      </c>
      <c r="V118" s="18">
        <v>2889</v>
      </c>
      <c r="W118" s="12"/>
      <c r="X118" s="21">
        <v>0.83599999999999997</v>
      </c>
      <c r="Y118" s="21">
        <v>0.85</v>
      </c>
      <c r="Z118" s="21">
        <v>0.85299999999999998</v>
      </c>
      <c r="AA118" s="21">
        <v>0.85199999999999998</v>
      </c>
      <c r="AB118" s="21">
        <v>0.85099999999999998</v>
      </c>
      <c r="AC118" s="21">
        <v>0.86499999999999999</v>
      </c>
      <c r="AD118" s="21">
        <v>0.84099999999999997</v>
      </c>
      <c r="AE118" s="21">
        <v>0.85299999999999998</v>
      </c>
      <c r="AF118" s="21">
        <v>0.83899999999999997</v>
      </c>
      <c r="AG118" s="21">
        <v>0.84499999999999997</v>
      </c>
      <c r="AH118" s="21">
        <v>0.85</v>
      </c>
      <c r="AI118" s="21">
        <v>0.86299999999999999</v>
      </c>
      <c r="AJ118" s="21">
        <v>0.83699999999999997</v>
      </c>
      <c r="AK118" s="21">
        <v>0.85599999999999998</v>
      </c>
      <c r="AL118" s="21">
        <v>0.84899999999999998</v>
      </c>
      <c r="AM118" s="21">
        <v>0.85499999999999998</v>
      </c>
      <c r="AN118" s="21">
        <v>0.84899999999999998</v>
      </c>
      <c r="AO118" s="21">
        <v>0.84799999999999998</v>
      </c>
      <c r="AP118" s="21">
        <v>0.84599999999999997</v>
      </c>
      <c r="AQ118" s="21">
        <v>0.85799999999999998</v>
      </c>
      <c r="AR118" s="21">
        <v>0.85299999999999998</v>
      </c>
      <c r="AS118" s="21">
        <v>0.85499999999999998</v>
      </c>
      <c r="AT118" s="21">
        <v>0.86099999999999999</v>
      </c>
      <c r="AU118" s="21">
        <v>0.85399999999999998</v>
      </c>
      <c r="AV118" s="21">
        <v>0.83899999999999997</v>
      </c>
      <c r="AW118" s="21">
        <v>0.83599999999999997</v>
      </c>
      <c r="AX118" s="21">
        <v>0.86</v>
      </c>
      <c r="AY118" s="21">
        <v>0.85899999999999999</v>
      </c>
      <c r="AZ118" s="21">
        <v>0.84099999999999997</v>
      </c>
      <c r="BA118" s="21">
        <v>0.83399999999999996</v>
      </c>
      <c r="BB118" s="21">
        <v>0.85899999999999999</v>
      </c>
      <c r="BC118" s="21">
        <v>0.871</v>
      </c>
      <c r="BD118" s="21">
        <v>0.85599999999999998</v>
      </c>
      <c r="BE118" s="21">
        <v>0.86</v>
      </c>
      <c r="BF118" s="21">
        <v>0.85899999999999999</v>
      </c>
      <c r="BG118" s="21">
        <v>0.875</v>
      </c>
      <c r="BH118" s="21">
        <v>0.84099999999999997</v>
      </c>
      <c r="BI118" s="21">
        <v>0.84099999999999997</v>
      </c>
      <c r="BJ118" s="21">
        <v>0.85399999999999998</v>
      </c>
      <c r="BK118" s="21">
        <v>0.84199999999999997</v>
      </c>
      <c r="BL118" s="21">
        <v>0.81200000000000006</v>
      </c>
      <c r="BM118" s="21"/>
      <c r="BN118" s="21"/>
      <c r="BO118" s="21"/>
      <c r="BP118" s="21"/>
    </row>
  </sheetData>
  <autoFilter ref="A1:V118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U58"/>
  <sheetViews>
    <sheetView showGridLines="0"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I21" sqref="I21"/>
    </sheetView>
  </sheetViews>
  <sheetFormatPr defaultColWidth="8.7109375" defaultRowHeight="15" x14ac:dyDescent="0.25"/>
  <cols>
    <col min="1" max="1" width="5" customWidth="1"/>
    <col min="2" max="2" width="55.28515625" customWidth="1"/>
    <col min="3" max="3" width="11" customWidth="1"/>
    <col min="4" max="4" width="4" customWidth="1"/>
    <col min="5" max="5" width="9" customWidth="1"/>
    <col min="6" max="7" width="7" customWidth="1"/>
    <col min="8" max="8" width="17.85546875" customWidth="1"/>
    <col min="9" max="9" width="14" customWidth="1"/>
    <col min="10" max="10" width="9" customWidth="1"/>
    <col min="11" max="13" width="8" customWidth="1"/>
    <col min="14" max="14" width="9" customWidth="1"/>
    <col min="15" max="15" width="16.7109375" customWidth="1"/>
    <col min="16" max="16" width="7" customWidth="1"/>
    <col min="17" max="18" width="8" customWidth="1"/>
    <col min="19" max="19" width="9" customWidth="1"/>
    <col min="20" max="20" width="7" customWidth="1"/>
    <col min="21" max="21" width="11" customWidth="1"/>
  </cols>
  <sheetData>
    <row r="2" spans="1:21" ht="19.5" x14ac:dyDescent="0.3">
      <c r="B2" s="64" t="s">
        <v>264</v>
      </c>
      <c r="C2" s="71"/>
      <c r="D2" s="71"/>
      <c r="E2" s="71"/>
      <c r="F2" s="71"/>
    </row>
    <row r="3" spans="1:21" x14ac:dyDescent="0.25">
      <c r="B3" s="1" t="s">
        <v>265</v>
      </c>
    </row>
    <row r="5" spans="1:21" ht="15.75" customHeight="1" x14ac:dyDescent="0.25">
      <c r="B5" s="81" t="s">
        <v>266</v>
      </c>
      <c r="C5" s="81"/>
      <c r="D5" s="81"/>
      <c r="E5" s="82" t="s">
        <v>267</v>
      </c>
      <c r="F5" s="82"/>
      <c r="G5" s="82"/>
      <c r="H5" s="83" t="s">
        <v>268</v>
      </c>
      <c r="I5" s="83"/>
      <c r="J5" s="83"/>
      <c r="K5" s="84" t="s">
        <v>269</v>
      </c>
      <c r="L5" s="84"/>
      <c r="M5" s="84"/>
      <c r="N5" s="84" t="s">
        <v>270</v>
      </c>
      <c r="O5" s="84"/>
      <c r="P5" s="84"/>
    </row>
    <row r="6" spans="1:21" ht="21.75" customHeight="1" x14ac:dyDescent="0.25">
      <c r="B6" s="77" t="s">
        <v>271</v>
      </c>
      <c r="C6" s="77"/>
      <c r="D6" s="77"/>
      <c r="E6" s="78" t="s">
        <v>272</v>
      </c>
      <c r="F6" s="78"/>
      <c r="G6" s="78"/>
      <c r="H6" s="79" t="s">
        <v>273</v>
      </c>
      <c r="I6" s="79"/>
      <c r="J6" s="79"/>
      <c r="K6" s="80" t="s">
        <v>258</v>
      </c>
      <c r="L6" s="80"/>
      <c r="M6" s="80"/>
      <c r="N6" s="80" t="s">
        <v>274</v>
      </c>
      <c r="O6" s="80"/>
      <c r="P6" s="80"/>
    </row>
    <row r="9" spans="1:21" ht="30" customHeight="1" x14ac:dyDescent="0.25">
      <c r="A9" s="70" t="s">
        <v>275</v>
      </c>
      <c r="B9" s="70" t="s">
        <v>276</v>
      </c>
      <c r="C9" s="70" t="s">
        <v>277</v>
      </c>
      <c r="D9" s="70" t="s">
        <v>278</v>
      </c>
      <c r="E9" s="70" t="s">
        <v>279</v>
      </c>
      <c r="F9" s="70" t="s">
        <v>280</v>
      </c>
      <c r="G9" s="70" t="s">
        <v>126</v>
      </c>
      <c r="H9" s="70" t="s">
        <v>129</v>
      </c>
      <c r="I9" s="70" t="s">
        <v>281</v>
      </c>
      <c r="J9" s="70" t="s">
        <v>162</v>
      </c>
      <c r="K9" s="70" t="s">
        <v>163</v>
      </c>
      <c r="L9" s="70" t="s">
        <v>282</v>
      </c>
      <c r="M9" s="70" t="s">
        <v>283</v>
      </c>
      <c r="N9" s="70" t="s">
        <v>170</v>
      </c>
      <c r="O9" s="70" t="s">
        <v>171</v>
      </c>
      <c r="P9" s="70" t="s">
        <v>174</v>
      </c>
      <c r="Q9" s="70" t="s">
        <v>284</v>
      </c>
      <c r="R9" s="70" t="s">
        <v>285</v>
      </c>
      <c r="S9" s="70" t="s">
        <v>286</v>
      </c>
      <c r="T9" s="70" t="s">
        <v>287</v>
      </c>
      <c r="U9" s="70" t="s">
        <v>288</v>
      </c>
    </row>
    <row r="10" spans="1:21" x14ac:dyDescent="0.25">
      <c r="A10" s="35">
        <v>1</v>
      </c>
      <c r="B10" s="16" t="s">
        <v>221</v>
      </c>
      <c r="C10" s="36" t="s">
        <v>289</v>
      </c>
      <c r="D10" s="12">
        <v>3</v>
      </c>
      <c r="E10" s="37">
        <f>AVERAGE('3. Raw Data'!H2:H4)</f>
        <v>115.24666666666667</v>
      </c>
      <c r="F10" s="17">
        <f>STDEV('3. Raw Data'!H2:H4)</f>
        <v>9.6090235369328633E-2</v>
      </c>
      <c r="G10" s="17">
        <f t="shared" ref="G10:G48" si="0">F10/E10*100</f>
        <v>8.3377886882624486E-2</v>
      </c>
      <c r="H10" s="17">
        <f t="shared" ref="H10:H48" si="1">TINV(0.05,3-1)*F10/SQRT(3)</f>
        <v>0.23870137741191477</v>
      </c>
      <c r="I10" s="38">
        <f>AVERAGE('3. Raw Data'!I2:I4)</f>
        <v>240.29333333333332</v>
      </c>
      <c r="J10" s="20">
        <f>AVERAGE('3. Raw Data'!J2:J4)</f>
        <v>1.45590990990991</v>
      </c>
      <c r="K10" s="18">
        <f>AVERAGE('3. Raw Data'!K2:K4)</f>
        <v>179195.89540687567</v>
      </c>
      <c r="L10" s="18">
        <f>AVERAGE('3. Raw Data'!L2:L4)</f>
        <v>699392</v>
      </c>
      <c r="M10" s="38">
        <f>AVERAGE('3. Raw Data'!P2:P4)</f>
        <v>51.95000000000001</v>
      </c>
      <c r="N10" s="20">
        <f>AVERAGE('3. Raw Data'!R2:R4)</f>
        <v>0.42275675675675667</v>
      </c>
      <c r="O10" s="20">
        <f>AVERAGE('3. Raw Data'!S2:S4)</f>
        <v>1.8786666666666667</v>
      </c>
      <c r="P10" s="18">
        <f>AVERAGE('3. Raw Data'!V2:V4)</f>
        <v>2886.6666666666665</v>
      </c>
      <c r="Q10" s="38">
        <v>0</v>
      </c>
      <c r="R10" s="38">
        <v>0</v>
      </c>
      <c r="S10" s="39" t="s">
        <v>290</v>
      </c>
      <c r="T10" s="40" t="s">
        <v>291</v>
      </c>
      <c r="U10" s="12" t="str">
        <f t="shared" ref="U10:U48" si="2">IF(G10&lt;1,"Excellent",IF(G10&lt;2,"Good",IF(G10&lt;4,"Fair","Poor")))</f>
        <v>Excellent</v>
      </c>
    </row>
    <row r="11" spans="1:21" x14ac:dyDescent="0.25">
      <c r="A11" s="41">
        <v>2</v>
      </c>
      <c r="B11" s="22" t="s">
        <v>222</v>
      </c>
      <c r="C11" s="42" t="s">
        <v>289</v>
      </c>
      <c r="D11" s="15">
        <v>3</v>
      </c>
      <c r="E11" s="43">
        <f>AVERAGE('3. Raw Data'!H5:H7)</f>
        <v>161.03333333333333</v>
      </c>
      <c r="F11" s="23">
        <f>STDEV('3. Raw Data'!H5:H7)</f>
        <v>11.036676734114009</v>
      </c>
      <c r="G11" s="23">
        <f t="shared" si="0"/>
        <v>6.8536597396692249</v>
      </c>
      <c r="H11" s="23">
        <f t="shared" si="1"/>
        <v>27.416624887610091</v>
      </c>
      <c r="I11" s="44">
        <f>AVERAGE('3. Raw Data'!I5:I7)</f>
        <v>246.61666666666665</v>
      </c>
      <c r="J11" s="26">
        <f>AVERAGE('3. Raw Data'!J5:J7)</f>
        <v>0.895169778869779</v>
      </c>
      <c r="K11" s="24">
        <f>AVERAGE('3. Raw Data'!K5:K7)</f>
        <v>107697.55987683735</v>
      </c>
      <c r="L11" s="24">
        <f>AVERAGE('3. Raw Data'!L5:L7)</f>
        <v>512</v>
      </c>
      <c r="M11" s="44">
        <f>AVERAGE('3. Raw Data'!P5:P7)</f>
        <v>56.803333333333335</v>
      </c>
      <c r="N11" s="26">
        <f>AVERAGE('3. Raw Data'!R5:R7)</f>
        <v>0.42494901719901695</v>
      </c>
      <c r="O11" s="26">
        <f>AVERAGE('3. Raw Data'!S5:S7)</f>
        <v>1.3201187960687966</v>
      </c>
      <c r="P11" s="24">
        <f>AVERAGE('3. Raw Data'!V5:V7)</f>
        <v>2889</v>
      </c>
      <c r="Q11" s="44">
        <f>E11-E10</f>
        <v>45.786666666666662</v>
      </c>
      <c r="R11" s="44">
        <f>(E11-E10)/E10*100</f>
        <v>39.729276334818067</v>
      </c>
      <c r="S11" s="45">
        <f>TTEST('3. Raw Data'!H5:H7,'3. Raw Data'!H2:H4,2,3)</f>
        <v>1.8816263250939234E-2</v>
      </c>
      <c r="T11" s="41" t="str">
        <f t="shared" ref="T11:T48" si="3">IF(S11&lt;0.05,"yes","tie")</f>
        <v>yes</v>
      </c>
      <c r="U11" s="15" t="str">
        <f t="shared" si="2"/>
        <v>Poor</v>
      </c>
    </row>
    <row r="12" spans="1:21" x14ac:dyDescent="0.25">
      <c r="A12" s="35">
        <v>3</v>
      </c>
      <c r="B12" s="16" t="s">
        <v>223</v>
      </c>
      <c r="C12" s="36" t="s">
        <v>289</v>
      </c>
      <c r="D12" s="12">
        <v>3</v>
      </c>
      <c r="E12" s="37">
        <f>AVERAGE('3. Raw Data'!H8:H10)</f>
        <v>167.05333333333331</v>
      </c>
      <c r="F12" s="17">
        <f>STDEV('3. Raw Data'!H8:H10)</f>
        <v>10.576626746431652</v>
      </c>
      <c r="G12" s="17">
        <f t="shared" si="0"/>
        <v>6.3312874609495893</v>
      </c>
      <c r="H12" s="17">
        <f t="shared" si="1"/>
        <v>26.273797363918074</v>
      </c>
      <c r="I12" s="38">
        <f>AVERAGE('3. Raw Data'!I8:I10)</f>
        <v>247.13333333333333</v>
      </c>
      <c r="J12" s="20">
        <f>AVERAGE('3. Raw Data'!J8:J10)</f>
        <v>0.85100134680134698</v>
      </c>
      <c r="K12" s="18">
        <f>AVERAGE('3. Raw Data'!K8:K10)</f>
        <v>102176.509314475</v>
      </c>
      <c r="L12" s="18">
        <f>AVERAGE('3. Raw Data'!L8:L10)</f>
        <v>426.66666666666669</v>
      </c>
      <c r="M12" s="38">
        <f>AVERAGE('3. Raw Data'!P8:P10)</f>
        <v>55.263333333333328</v>
      </c>
      <c r="N12" s="20">
        <f>AVERAGE('3. Raw Data'!R8:R10)</f>
        <v>0.4190843434343437</v>
      </c>
      <c r="O12" s="20">
        <f>AVERAGE('3. Raw Data'!S8:S10)</f>
        <v>1.2700856902356901</v>
      </c>
      <c r="P12" s="18">
        <f>AVERAGE('3. Raw Data'!V8:V10)</f>
        <v>2889.3333333333335</v>
      </c>
      <c r="Q12" s="38">
        <f>E12-E10</f>
        <v>51.806666666666644</v>
      </c>
      <c r="R12" s="38">
        <f>(E12-E10)/E10*100</f>
        <v>44.95285474634116</v>
      </c>
      <c r="S12" s="46">
        <f>TTEST('3. Raw Data'!H8:H10,'3. Raw Data'!H2:H4,2,3)</f>
        <v>1.3604529494700804E-2</v>
      </c>
      <c r="T12" s="35" t="str">
        <f t="shared" si="3"/>
        <v>yes</v>
      </c>
      <c r="U12" s="12" t="str">
        <f t="shared" si="2"/>
        <v>Poor</v>
      </c>
    </row>
    <row r="13" spans="1:21" x14ac:dyDescent="0.25">
      <c r="A13" s="41">
        <v>4</v>
      </c>
      <c r="B13" s="22" t="s">
        <v>225</v>
      </c>
      <c r="C13" s="42" t="s">
        <v>289</v>
      </c>
      <c r="D13" s="15">
        <v>3</v>
      </c>
      <c r="E13" s="43">
        <f>AVERAGE('3. Raw Data'!H11:H13)</f>
        <v>171.75</v>
      </c>
      <c r="F13" s="23">
        <f>STDEV('3. Raw Data'!H11:H13)</f>
        <v>1.3763357148602975</v>
      </c>
      <c r="G13" s="23">
        <f t="shared" si="0"/>
        <v>0.8013599504281208</v>
      </c>
      <c r="H13" s="23">
        <f t="shared" si="1"/>
        <v>3.4190074533133159</v>
      </c>
      <c r="I13" s="44">
        <f>AVERAGE('3. Raw Data'!I11:I13)</f>
        <v>247.60333333333332</v>
      </c>
      <c r="J13" s="26">
        <f>AVERAGE('3. Raw Data'!J11:J13)</f>
        <v>0.83897314814814827</v>
      </c>
      <c r="K13" s="24">
        <f>AVERAGE('3. Raw Data'!K11:K13)</f>
        <v>100718.6921171758</v>
      </c>
      <c r="L13" s="24">
        <f>AVERAGE('3. Raw Data'!L11:L13)</f>
        <v>512</v>
      </c>
      <c r="M13" s="44">
        <f>AVERAGE('3. Raw Data'!P11:P13)</f>
        <v>51.72</v>
      </c>
      <c r="N13" s="26">
        <f>AVERAGE('3. Raw Data'!R11:R13)</f>
        <v>0.39833703703703699</v>
      </c>
      <c r="O13" s="26">
        <f>AVERAGE('3. Raw Data'!S11:S13)</f>
        <v>1.2373101851851869</v>
      </c>
      <c r="P13" s="24">
        <f>AVERAGE('3. Raw Data'!V11:V13)</f>
        <v>2889</v>
      </c>
      <c r="Q13" s="44">
        <f>E13-E10</f>
        <v>56.50333333333333</v>
      </c>
      <c r="R13" s="44">
        <f>(E13-E10)/E10*100</f>
        <v>49.028171458321282</v>
      </c>
      <c r="S13" s="45">
        <f>TTEST('3. Raw Data'!H11:H13,'3. Raw Data'!H2:H4,2,3)</f>
        <v>1.8519648857469532E-4</v>
      </c>
      <c r="T13" s="41" t="str">
        <f t="shared" si="3"/>
        <v>yes</v>
      </c>
      <c r="U13" s="15" t="str">
        <f t="shared" si="2"/>
        <v>Excellent</v>
      </c>
    </row>
    <row r="14" spans="1:21" x14ac:dyDescent="0.25">
      <c r="A14" s="35">
        <v>5</v>
      </c>
      <c r="B14" s="16" t="s">
        <v>226</v>
      </c>
      <c r="C14" s="36" t="s">
        <v>289</v>
      </c>
      <c r="D14" s="12">
        <v>3</v>
      </c>
      <c r="E14" s="37">
        <f>AVERAGE('3. Raw Data'!H14:H16)</f>
        <v>173.39333333333332</v>
      </c>
      <c r="F14" s="17">
        <f>STDEV('3. Raw Data'!H14:H16)</f>
        <v>11.154803150810567</v>
      </c>
      <c r="G14" s="17">
        <f t="shared" si="0"/>
        <v>6.4332364666907047</v>
      </c>
      <c r="H14" s="17">
        <f t="shared" si="1"/>
        <v>27.710067174079946</v>
      </c>
      <c r="I14" s="38">
        <f>AVERAGE('3. Raw Data'!I14:I16)</f>
        <v>247.75666666666666</v>
      </c>
      <c r="J14" s="20">
        <f>AVERAGE('3. Raw Data'!J14:J16)</f>
        <v>0.85195555555555569</v>
      </c>
      <c r="K14" s="18">
        <f>AVERAGE('3. Raw Data'!K14:K16)</f>
        <v>102280.71179390367</v>
      </c>
      <c r="L14" s="18">
        <f>AVERAGE('3. Raw Data'!L14:L16)</f>
        <v>699306.66666666663</v>
      </c>
      <c r="M14" s="38">
        <f>AVERAGE('3. Raw Data'!P14:P16)</f>
        <v>55.283333333333339</v>
      </c>
      <c r="N14" s="20">
        <f>AVERAGE('3. Raw Data'!R14:R16)</f>
        <v>0.46980462962962938</v>
      </c>
      <c r="O14" s="20">
        <f>AVERAGE('3. Raw Data'!S14:S16)</f>
        <v>1.3217601851851832</v>
      </c>
      <c r="P14" s="18">
        <f>AVERAGE('3. Raw Data'!V14:V16)</f>
        <v>2893.3333333333335</v>
      </c>
      <c r="Q14" s="38">
        <f>E14-E10</f>
        <v>58.146666666666647</v>
      </c>
      <c r="R14" s="38">
        <f>(E14-E10)/E10*100</f>
        <v>50.454098455486765</v>
      </c>
      <c r="S14" s="46">
        <f>TTEST('3. Raw Data'!H14:H16,'3. Raw Data'!H2:H4,2,3)</f>
        <v>1.2041472969938473E-2</v>
      </c>
      <c r="T14" s="35" t="str">
        <f t="shared" si="3"/>
        <v>yes</v>
      </c>
      <c r="U14" s="12" t="str">
        <f t="shared" si="2"/>
        <v>Poor</v>
      </c>
    </row>
    <row r="15" spans="1:21" x14ac:dyDescent="0.25">
      <c r="A15" s="41">
        <v>6</v>
      </c>
      <c r="B15" s="22" t="s">
        <v>227</v>
      </c>
      <c r="C15" s="42" t="s">
        <v>289</v>
      </c>
      <c r="D15" s="15">
        <v>3</v>
      </c>
      <c r="E15" s="43">
        <f>AVERAGE('3. Raw Data'!H17:H19)</f>
        <v>173.79999999999998</v>
      </c>
      <c r="F15" s="23">
        <f>STDEV('3. Raw Data'!H17:H19)</f>
        <v>2.5835440774254264</v>
      </c>
      <c r="G15" s="23">
        <f t="shared" si="0"/>
        <v>1.4865040721665286</v>
      </c>
      <c r="H15" s="23">
        <f t="shared" si="1"/>
        <v>6.4178792727017182</v>
      </c>
      <c r="I15" s="44">
        <f>AVERAGE('3. Raw Data'!I17:I19)</f>
        <v>247.80666666666664</v>
      </c>
      <c r="J15" s="26">
        <f>AVERAGE('3. Raw Data'!J17:J19)</f>
        <v>0.88198841341341339</v>
      </c>
      <c r="K15" s="24">
        <f>AVERAGE('3. Raw Data'!K17:K19)</f>
        <v>107072.355823787</v>
      </c>
      <c r="L15" s="24">
        <f>AVERAGE('3. Raw Data'!L17:L19)</f>
        <v>512</v>
      </c>
      <c r="M15" s="44">
        <f>AVERAGE('3. Raw Data'!P17:P19)</f>
        <v>51.410000000000004</v>
      </c>
      <c r="N15" s="26">
        <f>AVERAGE('3. Raw Data'!R17:R19)</f>
        <v>0.44228090590590602</v>
      </c>
      <c r="O15" s="26">
        <f>AVERAGE('3. Raw Data'!S17:S19)</f>
        <v>1.3242693193193202</v>
      </c>
      <c r="P15" s="24">
        <f>AVERAGE('3. Raw Data'!V17:V19)</f>
        <v>2889</v>
      </c>
      <c r="Q15" s="44">
        <f>E15-E10</f>
        <v>58.553333333333313</v>
      </c>
      <c r="R15" s="44">
        <f>(E15-E10)/E10*100</f>
        <v>50.806964771215348</v>
      </c>
      <c r="S15" s="45">
        <f>TTEST('3. Raw Data'!H17:H19,'3. Raw Data'!H2:H4,2,3)</f>
        <v>6.3846411160510563E-4</v>
      </c>
      <c r="T15" s="41" t="str">
        <f t="shared" si="3"/>
        <v>yes</v>
      </c>
      <c r="U15" s="15" t="str">
        <f t="shared" si="2"/>
        <v>Good</v>
      </c>
    </row>
    <row r="16" spans="1:21" x14ac:dyDescent="0.25">
      <c r="A16" s="35">
        <v>7</v>
      </c>
      <c r="B16" s="16" t="s">
        <v>228</v>
      </c>
      <c r="C16" s="36" t="s">
        <v>289</v>
      </c>
      <c r="D16" s="12">
        <v>3</v>
      </c>
      <c r="E16" s="37">
        <f>AVERAGE('3. Raw Data'!H20:H22)</f>
        <v>174.02666666666664</v>
      </c>
      <c r="F16" s="17">
        <f>STDEV('3. Raw Data'!H20:H22)</f>
        <v>12.620326197580374</v>
      </c>
      <c r="G16" s="17">
        <f t="shared" si="0"/>
        <v>7.2519496231882332</v>
      </c>
      <c r="H16" s="17">
        <f t="shared" si="1"/>
        <v>31.350628242000067</v>
      </c>
      <c r="I16" s="38">
        <f>AVERAGE('3. Raw Data'!I20:I22)</f>
        <v>247.85</v>
      </c>
      <c r="J16" s="20">
        <f>AVERAGE('3. Raw Data'!J20:J22)</f>
        <v>0.83919999999999995</v>
      </c>
      <c r="K16" s="18">
        <f>AVERAGE('3. Raw Data'!K20:K22)</f>
        <v>100733.59963498772</v>
      </c>
      <c r="L16" s="18">
        <f>AVERAGE('3. Raw Data'!L20:L22)</f>
        <v>426.66666666666669</v>
      </c>
      <c r="M16" s="38">
        <f>AVERAGE('3. Raw Data'!P20:P22)</f>
        <v>52.303333333333335</v>
      </c>
      <c r="N16" s="20">
        <f>AVERAGE('3. Raw Data'!R20:R22)</f>
        <v>0.448930555555556</v>
      </c>
      <c r="O16" s="20">
        <f>AVERAGE('3. Raw Data'!S20:S22)</f>
        <v>1.2881305555555567</v>
      </c>
      <c r="P16" s="18">
        <f>AVERAGE('3. Raw Data'!V20:V22)</f>
        <v>2887.3333333333335</v>
      </c>
      <c r="Q16" s="38">
        <f>E16-E10</f>
        <v>58.779999999999973</v>
      </c>
      <c r="R16" s="38">
        <f>(E16-E10)/E10*100</f>
        <v>51.003644357031277</v>
      </c>
      <c r="S16" s="46">
        <f>TTEST('3. Raw Data'!H20:H22,'3. Raw Data'!H2:H4,2,3)</f>
        <v>1.5016429906814625E-2</v>
      </c>
      <c r="T16" s="35" t="str">
        <f t="shared" si="3"/>
        <v>yes</v>
      </c>
      <c r="U16" s="12" t="str">
        <f t="shared" si="2"/>
        <v>Poor</v>
      </c>
    </row>
    <row r="17" spans="1:21" x14ac:dyDescent="0.25">
      <c r="A17" s="41">
        <v>8</v>
      </c>
      <c r="B17" s="22" t="s">
        <v>229</v>
      </c>
      <c r="C17" s="42" t="s">
        <v>289</v>
      </c>
      <c r="D17" s="15">
        <v>3</v>
      </c>
      <c r="E17" s="43">
        <f>AVERAGE('3. Raw Data'!H23:H25)</f>
        <v>174.81333333333336</v>
      </c>
      <c r="F17" s="23">
        <f>STDEV('3. Raw Data'!H23:H25)</f>
        <v>1.9111863680272951</v>
      </c>
      <c r="G17" s="23">
        <f t="shared" si="0"/>
        <v>1.0932726535126773</v>
      </c>
      <c r="H17" s="23">
        <f t="shared" si="1"/>
        <v>4.7476501309997508</v>
      </c>
      <c r="I17" s="44">
        <f>AVERAGE('3. Raw Data'!I23:I25)</f>
        <v>248.05666666666664</v>
      </c>
      <c r="J17" s="26">
        <f>AVERAGE('3. Raw Data'!J23:J25)</f>
        <v>0.91276438438438456</v>
      </c>
      <c r="K17" s="24">
        <f>AVERAGE('3. Raw Data'!K23:K25)</f>
        <v>109806.25930880201</v>
      </c>
      <c r="L17" s="24">
        <f>AVERAGE('3. Raw Data'!L23:L25)</f>
        <v>512</v>
      </c>
      <c r="M17" s="44">
        <f>AVERAGE('3. Raw Data'!P23:P25)</f>
        <v>56.169999999999995</v>
      </c>
      <c r="N17" s="26">
        <f>AVERAGE('3. Raw Data'!R23:R25)</f>
        <v>0.45266246246246239</v>
      </c>
      <c r="O17" s="26">
        <f>AVERAGE('3. Raw Data'!S23:S25)</f>
        <v>1.3654268468468469</v>
      </c>
      <c r="P17" s="24">
        <f>AVERAGE('3. Raw Data'!V23:V25)</f>
        <v>2888.6666666666665</v>
      </c>
      <c r="Q17" s="44">
        <f>E17-E10</f>
        <v>59.566666666666691</v>
      </c>
      <c r="R17" s="44">
        <f>(E17-E10)/E10*100</f>
        <v>51.686238213686607</v>
      </c>
      <c r="S17" s="45">
        <f>TTEST('3. Raw Data'!H23:H25,'3. Raw Data'!H2:H4,2,3)</f>
        <v>3.3244113144790898E-4</v>
      </c>
      <c r="T17" s="41" t="str">
        <f t="shared" si="3"/>
        <v>yes</v>
      </c>
      <c r="U17" s="15" t="str">
        <f t="shared" si="2"/>
        <v>Good</v>
      </c>
    </row>
    <row r="18" spans="1:21" x14ac:dyDescent="0.25">
      <c r="A18" s="35">
        <v>9</v>
      </c>
      <c r="B18" s="16" t="s">
        <v>230</v>
      </c>
      <c r="C18" s="36" t="s">
        <v>289</v>
      </c>
      <c r="D18" s="12">
        <v>3</v>
      </c>
      <c r="E18" s="37">
        <f>AVERAGE('3. Raw Data'!H26:H28)</f>
        <v>175.22666666666669</v>
      </c>
      <c r="F18" s="17">
        <f>STDEV('3. Raw Data'!H26:H28)</f>
        <v>1.615064498196068</v>
      </c>
      <c r="G18" s="17">
        <f t="shared" si="0"/>
        <v>0.92170017778652491</v>
      </c>
      <c r="H18" s="17">
        <f t="shared" si="1"/>
        <v>4.0120426268779772</v>
      </c>
      <c r="I18" s="38">
        <f>AVERAGE('3. Raw Data'!I26:I28)</f>
        <v>247.97333333333333</v>
      </c>
      <c r="J18" s="20">
        <f>AVERAGE('3. Raw Data'!J26:J28)</f>
        <v>0.85143045545545526</v>
      </c>
      <c r="K18" s="18">
        <f>AVERAGE('3. Raw Data'!K26:K28)</f>
        <v>102435.34994359298</v>
      </c>
      <c r="L18" s="18">
        <f>AVERAGE('3. Raw Data'!L26:L28)</f>
        <v>512</v>
      </c>
      <c r="M18" s="38">
        <f>AVERAGE('3. Raw Data'!P26:P28)</f>
        <v>50.926666666666669</v>
      </c>
      <c r="N18" s="20">
        <f>AVERAGE('3. Raw Data'!R26:R28)</f>
        <v>0.45265072572572601</v>
      </c>
      <c r="O18" s="20">
        <f>AVERAGE('3. Raw Data'!S26:S28)</f>
        <v>1.3040811811811801</v>
      </c>
      <c r="P18" s="18">
        <f>AVERAGE('3. Raw Data'!V26:V28)</f>
        <v>2891</v>
      </c>
      <c r="Q18" s="38">
        <f>E18-E10</f>
        <v>59.980000000000018</v>
      </c>
      <c r="R18" s="38">
        <f>(E18-E10)/E10*100</f>
        <v>52.044889223115653</v>
      </c>
      <c r="S18" s="46">
        <f>TTEST('3. Raw Data'!H26:H28,'3. Raw Data'!H2:H4,2,3)</f>
        <v>2.3070543074105352E-4</v>
      </c>
      <c r="T18" s="35" t="str">
        <f t="shared" si="3"/>
        <v>yes</v>
      </c>
      <c r="U18" s="12" t="str">
        <f t="shared" si="2"/>
        <v>Excellent</v>
      </c>
    </row>
    <row r="19" spans="1:21" x14ac:dyDescent="0.25">
      <c r="A19" s="47">
        <v>10</v>
      </c>
      <c r="B19" s="48" t="s">
        <v>231</v>
      </c>
      <c r="C19" s="49" t="s">
        <v>151</v>
      </c>
      <c r="D19" s="29">
        <v>3</v>
      </c>
      <c r="E19" s="50">
        <f>AVERAGE('3. Raw Data'!H29:H31)</f>
        <v>176.29666666666671</v>
      </c>
      <c r="F19" s="30">
        <f>STDEV('3. Raw Data'!H29:H31)</f>
        <v>1.767550093585279</v>
      </c>
      <c r="G19" s="30">
        <f t="shared" si="0"/>
        <v>1.0025998375382095</v>
      </c>
      <c r="H19" s="30">
        <f t="shared" si="1"/>
        <v>4.390837844883019</v>
      </c>
      <c r="I19" s="51">
        <f>AVERAGE('3. Raw Data'!I29:I31)</f>
        <v>248.11666666666667</v>
      </c>
      <c r="J19" s="33">
        <f>AVERAGE('3. Raw Data'!J29:J31)</f>
        <v>0.87914697197197211</v>
      </c>
      <c r="K19" s="31">
        <f>AVERAGE('3. Raw Data'!K29:K31)</f>
        <v>106434.94347646333</v>
      </c>
      <c r="L19" s="31">
        <f>AVERAGE('3. Raw Data'!L29:L31)</f>
        <v>699392</v>
      </c>
      <c r="M19" s="51">
        <f>AVERAGE('3. Raw Data'!P29:P31)</f>
        <v>51.576666666666675</v>
      </c>
      <c r="N19" s="33">
        <f>AVERAGE('3. Raw Data'!R29:R31)</f>
        <v>0.43419411911911898</v>
      </c>
      <c r="O19" s="33">
        <f>AVERAGE('3. Raw Data'!S29:S31)</f>
        <v>1.3133410910910899</v>
      </c>
      <c r="P19" s="31">
        <f>AVERAGE('3. Raw Data'!V29:V31)</f>
        <v>2888.6666666666665</v>
      </c>
      <c r="Q19" s="51">
        <f>E19-E10</f>
        <v>61.05000000000004</v>
      </c>
      <c r="R19" s="51">
        <f>(E19-E10)/E10*100</f>
        <v>52.973332562040873</v>
      </c>
      <c r="S19" s="52">
        <f>TTEST('3. Raw Data'!H29:H31,'3. Raw Data'!H2:H4,2,3)</f>
        <v>2.6897653768534702E-4</v>
      </c>
      <c r="T19" s="47" t="str">
        <f t="shared" si="3"/>
        <v>yes</v>
      </c>
      <c r="U19" s="29" t="str">
        <f t="shared" si="2"/>
        <v>Good</v>
      </c>
    </row>
    <row r="20" spans="1:21" x14ac:dyDescent="0.25">
      <c r="A20" s="35">
        <v>11</v>
      </c>
      <c r="B20" s="16" t="s">
        <v>232</v>
      </c>
      <c r="C20" s="36" t="s">
        <v>289</v>
      </c>
      <c r="D20" s="12">
        <v>3</v>
      </c>
      <c r="E20" s="37">
        <f>AVERAGE('3. Raw Data'!H32:H34)</f>
        <v>176.42</v>
      </c>
      <c r="F20" s="17">
        <f>STDEV('3. Raw Data'!H32:H34)</f>
        <v>1.6750223879100812</v>
      </c>
      <c r="G20" s="17">
        <f t="shared" si="0"/>
        <v>0.94945152925409904</v>
      </c>
      <c r="H20" s="17">
        <f t="shared" si="1"/>
        <v>4.1609862818335248</v>
      </c>
      <c r="I20" s="38">
        <f>AVERAGE('3. Raw Data'!I32:I34)</f>
        <v>248.04666666666671</v>
      </c>
      <c r="J20" s="20">
        <f>AVERAGE('3. Raw Data'!J32:J34)</f>
        <v>0.88774682539682559</v>
      </c>
      <c r="K20" s="18">
        <f>AVERAGE('3. Raw Data'!K32:K34)</f>
        <v>107376.92919763333</v>
      </c>
      <c r="L20" s="18">
        <f>AVERAGE('3. Raw Data'!L32:L34)</f>
        <v>341.33333333333331</v>
      </c>
      <c r="M20" s="38">
        <f>AVERAGE('3. Raw Data'!P32:P34)</f>
        <v>52.413333333333334</v>
      </c>
      <c r="N20" s="20">
        <f>AVERAGE('3. Raw Data'!R32:R34)</f>
        <v>0.44808280423280439</v>
      </c>
      <c r="O20" s="20">
        <f>AVERAGE('3. Raw Data'!S32:S34)</f>
        <v>1.3358296296296299</v>
      </c>
      <c r="P20" s="18">
        <f>AVERAGE('3. Raw Data'!V32:V34)</f>
        <v>2889</v>
      </c>
      <c r="Q20" s="38">
        <f>E20-E10</f>
        <v>61.173333333333318</v>
      </c>
      <c r="R20" s="38">
        <f>(E20-E10)/E10*100</f>
        <v>53.080349395499496</v>
      </c>
      <c r="S20" s="46">
        <f>TTEST('3. Raw Data'!H32:H34,'3. Raw Data'!H2:H4,2,3)</f>
        <v>2.393894953423742E-4</v>
      </c>
      <c r="T20" s="35" t="str">
        <f t="shared" si="3"/>
        <v>yes</v>
      </c>
      <c r="U20" s="12" t="str">
        <f t="shared" si="2"/>
        <v>Excellent</v>
      </c>
    </row>
    <row r="21" spans="1:21" x14ac:dyDescent="0.25">
      <c r="A21" s="47">
        <v>12</v>
      </c>
      <c r="B21" s="48" t="s">
        <v>233</v>
      </c>
      <c r="C21" s="49" t="s">
        <v>151</v>
      </c>
      <c r="D21" s="29">
        <v>3</v>
      </c>
      <c r="E21" s="50">
        <f>AVERAGE('3. Raw Data'!H35:H37)</f>
        <v>177.42</v>
      </c>
      <c r="F21" s="30">
        <f>STDEV('3. Raw Data'!H35:H37)</f>
        <v>3.1128925455273859</v>
      </c>
      <c r="G21" s="30">
        <f t="shared" si="0"/>
        <v>1.7545330546316007</v>
      </c>
      <c r="H21" s="30">
        <f t="shared" si="1"/>
        <v>7.7328537649710638</v>
      </c>
      <c r="I21" s="51">
        <f>AVERAGE('3. Raw Data'!I35:I37)</f>
        <v>248.24</v>
      </c>
      <c r="J21" s="33">
        <f>AVERAGE('3. Raw Data'!J35:J37)</f>
        <v>0.88924695767195772</v>
      </c>
      <c r="K21" s="31">
        <f>AVERAGE('3. Raw Data'!K35:K37)</f>
        <v>107039.72607354401</v>
      </c>
      <c r="L21" s="31">
        <f>AVERAGE('3. Raw Data'!L35:L37)</f>
        <v>512</v>
      </c>
      <c r="M21" s="51">
        <f>AVERAGE('3. Raw Data'!P35:P37)</f>
        <v>52.660000000000004</v>
      </c>
      <c r="N21" s="33">
        <f>AVERAGE('3. Raw Data'!R35:R37)</f>
        <v>0.44044814814814798</v>
      </c>
      <c r="O21" s="33">
        <f>AVERAGE('3. Raw Data'!S35:S37)</f>
        <v>1.3296951058201032</v>
      </c>
      <c r="P21" s="31">
        <f>AVERAGE('3. Raw Data'!V35:V37)</f>
        <v>2888</v>
      </c>
      <c r="Q21" s="51">
        <f>E21-E10</f>
        <v>62.173333333333318</v>
      </c>
      <c r="R21" s="51">
        <f>(E21-E10)/E10*100</f>
        <v>53.94805345056978</v>
      </c>
      <c r="S21" s="52">
        <f>TTEST('3. Raw Data'!H35:H37,'3. Raw Data'!H2:H4,2,3)</f>
        <v>8.2619626261533526E-4</v>
      </c>
      <c r="T21" s="47" t="str">
        <f t="shared" si="3"/>
        <v>yes</v>
      </c>
      <c r="U21" s="29" t="str">
        <f t="shared" si="2"/>
        <v>Good</v>
      </c>
    </row>
    <row r="22" spans="1:21" x14ac:dyDescent="0.25">
      <c r="A22" s="35">
        <v>13</v>
      </c>
      <c r="B22" s="16" t="s">
        <v>234</v>
      </c>
      <c r="C22" s="36" t="s">
        <v>289</v>
      </c>
      <c r="D22" s="12">
        <v>3</v>
      </c>
      <c r="E22" s="37">
        <f>AVERAGE('3. Raw Data'!H38:H40)</f>
        <v>177.69666666666663</v>
      </c>
      <c r="F22" s="17">
        <f>STDEV('3. Raw Data'!H38:H40)</f>
        <v>3.2588699472874469</v>
      </c>
      <c r="G22" s="17">
        <f t="shared" si="0"/>
        <v>1.8339510855319632</v>
      </c>
      <c r="H22" s="17">
        <f t="shared" si="1"/>
        <v>8.0954817337465599</v>
      </c>
      <c r="I22" s="38">
        <f>AVERAGE('3. Raw Data'!I38:I40)</f>
        <v>248.18333333333331</v>
      </c>
      <c r="J22" s="20">
        <f>AVERAGE('3. Raw Data'!J38:J40)</f>
        <v>0.78159727227227238</v>
      </c>
      <c r="K22" s="18">
        <f>AVERAGE('3. Raw Data'!K38:K40)</f>
        <v>93826.217807190566</v>
      </c>
      <c r="L22" s="18">
        <f>AVERAGE('3. Raw Data'!L38:L40)</f>
        <v>426.66666666666669</v>
      </c>
      <c r="M22" s="38">
        <f>AVERAGE('3. Raw Data'!P38:P40)</f>
        <v>53.153333333333336</v>
      </c>
      <c r="N22" s="20">
        <f>AVERAGE('3. Raw Data'!R38:R40)</f>
        <v>0.40397645145145167</v>
      </c>
      <c r="O22" s="20">
        <f>AVERAGE('3. Raw Data'!S38:S40)</f>
        <v>1.1855737237237267</v>
      </c>
      <c r="P22" s="18">
        <f>AVERAGE('3. Raw Data'!V38:V40)</f>
        <v>2890.6666666666665</v>
      </c>
      <c r="Q22" s="38">
        <f>E22-E10</f>
        <v>62.44999999999996</v>
      </c>
      <c r="R22" s="38">
        <f>(E22-E10)/E10*100</f>
        <v>54.188118239139207</v>
      </c>
      <c r="S22" s="46">
        <f>TTEST('3. Raw Data'!H38:H40,'3. Raw Data'!H2:H4,2,3)</f>
        <v>8.9831897119113267E-4</v>
      </c>
      <c r="T22" s="35" t="str">
        <f t="shared" si="3"/>
        <v>yes</v>
      </c>
      <c r="U22" s="12" t="str">
        <f t="shared" si="2"/>
        <v>Good</v>
      </c>
    </row>
    <row r="23" spans="1:21" x14ac:dyDescent="0.25">
      <c r="A23" s="41">
        <v>14</v>
      </c>
      <c r="B23" s="22" t="s">
        <v>235</v>
      </c>
      <c r="C23" s="42" t="s">
        <v>289</v>
      </c>
      <c r="D23" s="15">
        <v>3</v>
      </c>
      <c r="E23" s="43">
        <f>AVERAGE('3. Raw Data'!H41:H43)</f>
        <v>177.93333333333337</v>
      </c>
      <c r="F23" s="23">
        <f>STDEV('3. Raw Data'!H41:H43)</f>
        <v>11.537366828411651</v>
      </c>
      <c r="G23" s="23">
        <f t="shared" si="0"/>
        <v>6.4840952576311253</v>
      </c>
      <c r="H23" s="23">
        <f t="shared" si="1"/>
        <v>28.660408032754692</v>
      </c>
      <c r="I23" s="44">
        <f>AVERAGE('3. Raw Data'!I41:I43)</f>
        <v>248.26333333333332</v>
      </c>
      <c r="J23" s="26">
        <f>AVERAGE('3. Raw Data'!J41:J43)</f>
        <v>0.83441203703703704</v>
      </c>
      <c r="K23" s="24">
        <f>AVERAGE('3. Raw Data'!K41:K43)</f>
        <v>100170.22062221477</v>
      </c>
      <c r="L23" s="24">
        <f>AVERAGE('3. Raw Data'!L41:L43)</f>
        <v>1398272</v>
      </c>
      <c r="M23" s="44">
        <f>AVERAGE('3. Raw Data'!P41:P43)</f>
        <v>52.79</v>
      </c>
      <c r="N23" s="26">
        <f>AVERAGE('3. Raw Data'!R41:R43)</f>
        <v>0.44402870370370368</v>
      </c>
      <c r="O23" s="26">
        <f>AVERAGE('3. Raw Data'!S41:S43)</f>
        <v>1.2784407407407399</v>
      </c>
      <c r="P23" s="24">
        <f>AVERAGE('3. Raw Data'!V41:V43)</f>
        <v>2889</v>
      </c>
      <c r="Q23" s="44">
        <f>E23-E10</f>
        <v>62.686666666666696</v>
      </c>
      <c r="R23" s="44">
        <f>(E23-E10)/E10*100</f>
        <v>54.393474865505894</v>
      </c>
      <c r="S23" s="45">
        <f>TTEST('3. Raw Data'!H41:H43,'3. Raw Data'!H2:H4,2,3)</f>
        <v>1.1099343973273189E-2</v>
      </c>
      <c r="T23" s="41" t="str">
        <f t="shared" si="3"/>
        <v>yes</v>
      </c>
      <c r="U23" s="15" t="str">
        <f t="shared" si="2"/>
        <v>Poor</v>
      </c>
    </row>
    <row r="24" spans="1:21" x14ac:dyDescent="0.25">
      <c r="A24" s="35">
        <v>15</v>
      </c>
      <c r="B24" s="16" t="s">
        <v>236</v>
      </c>
      <c r="C24" s="36" t="s">
        <v>289</v>
      </c>
      <c r="D24" s="12">
        <v>3</v>
      </c>
      <c r="E24" s="37">
        <f>AVERAGE('3. Raw Data'!H44:H46)</f>
        <v>179.14666666666668</v>
      </c>
      <c r="F24" s="17">
        <f>STDEV('3. Raw Data'!H44:H46)</f>
        <v>0.78053400523829553</v>
      </c>
      <c r="G24" s="17">
        <f t="shared" si="0"/>
        <v>0.43569552242387732</v>
      </c>
      <c r="H24" s="17">
        <f t="shared" si="1"/>
        <v>1.9389539577159802</v>
      </c>
      <c r="I24" s="38">
        <f>AVERAGE('3. Raw Data'!I44:I46)</f>
        <v>248.34333333333333</v>
      </c>
      <c r="J24" s="20">
        <f>AVERAGE('3. Raw Data'!J44:J46)</f>
        <v>0.86403632478632497</v>
      </c>
      <c r="K24" s="18">
        <f>AVERAGE('3. Raw Data'!K44:K46)</f>
        <v>104502.78307925833</v>
      </c>
      <c r="L24" s="18">
        <f>AVERAGE('3. Raw Data'!L44:L46)</f>
        <v>512</v>
      </c>
      <c r="M24" s="38">
        <f>AVERAGE('3. Raw Data'!P44:P46)</f>
        <v>53.06</v>
      </c>
      <c r="N24" s="20">
        <f>AVERAGE('3. Raw Data'!R44:R46)</f>
        <v>0.42744387464387468</v>
      </c>
      <c r="O24" s="20">
        <f>AVERAGE('3. Raw Data'!S44:S46)</f>
        <v>1.2914801994302001</v>
      </c>
      <c r="P24" s="18">
        <f>AVERAGE('3. Raw Data'!V44:V46)</f>
        <v>2890.3333333333335</v>
      </c>
      <c r="Q24" s="38">
        <f>E24-E10</f>
        <v>63.900000000000006</v>
      </c>
      <c r="R24" s="38">
        <f>(E24-E10)/E10*100</f>
        <v>55.446289118991153</v>
      </c>
      <c r="S24" s="46">
        <f>TTEST('3. Raw Data'!H44:H46,'3. Raw Data'!H2:H4,2,3)</f>
        <v>3.8940379000779521E-5</v>
      </c>
      <c r="T24" s="35" t="str">
        <f t="shared" si="3"/>
        <v>yes</v>
      </c>
      <c r="U24" s="12" t="str">
        <f t="shared" si="2"/>
        <v>Excellent</v>
      </c>
    </row>
    <row r="25" spans="1:21" x14ac:dyDescent="0.25">
      <c r="A25" s="41">
        <v>16</v>
      </c>
      <c r="B25" s="22" t="s">
        <v>237</v>
      </c>
      <c r="C25" s="42" t="s">
        <v>289</v>
      </c>
      <c r="D25" s="15">
        <v>3</v>
      </c>
      <c r="E25" s="43">
        <f>AVERAGE('3. Raw Data'!H47:H49)</f>
        <v>179.91</v>
      </c>
      <c r="F25" s="23">
        <f>STDEV('3. Raw Data'!H47:H49)</f>
        <v>1.8457789683491284</v>
      </c>
      <c r="G25" s="23">
        <f t="shared" si="0"/>
        <v>1.0259457330604904</v>
      </c>
      <c r="H25" s="23">
        <f t="shared" si="1"/>
        <v>4.585169142831691</v>
      </c>
      <c r="I25" s="44">
        <f>AVERAGE('3. Raw Data'!I47:I49)</f>
        <v>248.4366666666667</v>
      </c>
      <c r="J25" s="26">
        <f>AVERAGE('3. Raw Data'!J47:J49)</f>
        <v>0.8351966609466609</v>
      </c>
      <c r="K25" s="24">
        <f>AVERAGE('3. Raw Data'!K47:K49)</f>
        <v>101095.94820423734</v>
      </c>
      <c r="L25" s="24">
        <f>AVERAGE('3. Raw Data'!L47:L49)</f>
        <v>512</v>
      </c>
      <c r="M25" s="44">
        <f>AVERAGE('3. Raw Data'!P47:P49)</f>
        <v>51.623333333333335</v>
      </c>
      <c r="N25" s="26">
        <f>AVERAGE('3. Raw Data'!R47:R49)</f>
        <v>0.43803948948948968</v>
      </c>
      <c r="O25" s="26">
        <f>AVERAGE('3. Raw Data'!S47:S49)</f>
        <v>1.2732361504361502</v>
      </c>
      <c r="P25" s="24">
        <f>AVERAGE('3. Raw Data'!V47:V49)</f>
        <v>2890.6666666666665</v>
      </c>
      <c r="Q25" s="44">
        <f>E25-E10</f>
        <v>64.663333333333327</v>
      </c>
      <c r="R25" s="44">
        <f>(E25-E10)/E10*100</f>
        <v>56.108636547694793</v>
      </c>
      <c r="S25" s="45">
        <f>TTEST('3. Raw Data'!H47:H49,'3. Raw Data'!H2:H4,2,3)</f>
        <v>2.6222828954649814E-4</v>
      </c>
      <c r="T25" s="41" t="str">
        <f t="shared" si="3"/>
        <v>yes</v>
      </c>
      <c r="U25" s="15" t="str">
        <f t="shared" si="2"/>
        <v>Good</v>
      </c>
    </row>
    <row r="26" spans="1:21" x14ac:dyDescent="0.25">
      <c r="A26" s="35">
        <v>17</v>
      </c>
      <c r="B26" s="16" t="s">
        <v>238</v>
      </c>
      <c r="C26" s="36" t="s">
        <v>289</v>
      </c>
      <c r="D26" s="12">
        <v>3</v>
      </c>
      <c r="E26" s="37">
        <f>AVERAGE('3. Raw Data'!H50:H52)</f>
        <v>180.88666666666668</v>
      </c>
      <c r="F26" s="17">
        <f>STDEV('3. Raw Data'!H50:H52)</f>
        <v>0.38888730158406598</v>
      </c>
      <c r="G26" s="17">
        <f t="shared" si="0"/>
        <v>0.2149894786334349</v>
      </c>
      <c r="H26" s="17">
        <f t="shared" si="1"/>
        <v>0.9660496114858026</v>
      </c>
      <c r="I26" s="38">
        <f>AVERAGE('3. Raw Data'!I50:I52)</f>
        <v>248.51333333333332</v>
      </c>
      <c r="J26" s="20">
        <f>AVERAGE('3. Raw Data'!J50:J52)</f>
        <v>0.84083981481481507</v>
      </c>
      <c r="K26" s="18">
        <f>AVERAGE('3. Raw Data'!K50:K52)</f>
        <v>100942.91852971232</v>
      </c>
      <c r="L26" s="18">
        <f>AVERAGE('3. Raw Data'!L50:L52)</f>
        <v>426.66666666666669</v>
      </c>
      <c r="M26" s="38">
        <f>AVERAGE('3. Raw Data'!P50:P52)</f>
        <v>52.52</v>
      </c>
      <c r="N26" s="20">
        <f>AVERAGE('3. Raw Data'!R50:R52)</f>
        <v>0.4468166666666667</v>
      </c>
      <c r="O26" s="20">
        <f>AVERAGE('3. Raw Data'!S50:S52)</f>
        <v>1.2876564814814799</v>
      </c>
      <c r="P26" s="18">
        <f>AVERAGE('3. Raw Data'!V50:V52)</f>
        <v>2888.6666666666665</v>
      </c>
      <c r="Q26" s="38">
        <f>E26-E10</f>
        <v>65.640000000000015</v>
      </c>
      <c r="R26" s="38">
        <f>(E26-E10)/E10*100</f>
        <v>56.956094174813451</v>
      </c>
      <c r="S26" s="46">
        <f>TTEST('3. Raw Data'!H50:H52,'3. Raw Data'!H2:H4,2,3)</f>
        <v>3.7161247701593542E-6</v>
      </c>
      <c r="T26" s="35" t="str">
        <f t="shared" si="3"/>
        <v>yes</v>
      </c>
      <c r="U26" s="12" t="str">
        <f t="shared" si="2"/>
        <v>Excellent</v>
      </c>
    </row>
    <row r="27" spans="1:21" x14ac:dyDescent="0.25">
      <c r="A27" s="41">
        <v>18</v>
      </c>
      <c r="B27" s="22" t="s">
        <v>239</v>
      </c>
      <c r="C27" s="42" t="s">
        <v>289</v>
      </c>
      <c r="D27" s="15">
        <v>3</v>
      </c>
      <c r="E27" s="43">
        <f>AVERAGE('3. Raw Data'!H53:H55)</f>
        <v>180.90333333333334</v>
      </c>
      <c r="F27" s="23">
        <f>STDEV('3. Raw Data'!H53:H55)</f>
        <v>0.11015141094572163</v>
      </c>
      <c r="G27" s="23">
        <f t="shared" si="0"/>
        <v>6.0889652454748373E-2</v>
      </c>
      <c r="H27" s="23">
        <f t="shared" si="1"/>
        <v>0.27363127393277531</v>
      </c>
      <c r="I27" s="44">
        <f>AVERAGE('3. Raw Data'!I53:I55)</f>
        <v>248.53</v>
      </c>
      <c r="J27" s="26">
        <f>AVERAGE('3. Raw Data'!J53:J55)</f>
        <v>0.83314319319319308</v>
      </c>
      <c r="K27" s="24">
        <f>AVERAGE('3. Raw Data'!K53:K55)</f>
        <v>100880.597955605</v>
      </c>
      <c r="L27" s="24">
        <f>AVERAGE('3. Raw Data'!L53:L55)</f>
        <v>512</v>
      </c>
      <c r="M27" s="44">
        <f>AVERAGE('3. Raw Data'!P53:P55)</f>
        <v>51.363333333333337</v>
      </c>
      <c r="N27" s="26">
        <f>AVERAGE('3. Raw Data'!R53:R55)</f>
        <v>0.43524857357357366</v>
      </c>
      <c r="O27" s="26">
        <f>AVERAGE('3. Raw Data'!S53:S55)</f>
        <v>1.2683917667667666</v>
      </c>
      <c r="P27" s="24">
        <f>AVERAGE('3. Raw Data'!V53:V55)</f>
        <v>2889</v>
      </c>
      <c r="Q27" s="44">
        <f>E27-E10</f>
        <v>65.656666666666666</v>
      </c>
      <c r="R27" s="44">
        <f>(E27-E10)/E10*100</f>
        <v>56.970555909064615</v>
      </c>
      <c r="S27" s="45">
        <f>TTEST('3. Raw Data'!H53:H55,'3. Raw Data'!H2:H4,2,3)</f>
        <v>2.4522314380213534E-11</v>
      </c>
      <c r="T27" s="41" t="str">
        <f t="shared" si="3"/>
        <v>yes</v>
      </c>
      <c r="U27" s="15" t="str">
        <f t="shared" si="2"/>
        <v>Excellent</v>
      </c>
    </row>
    <row r="28" spans="1:21" x14ac:dyDescent="0.25">
      <c r="A28" s="35">
        <v>19</v>
      </c>
      <c r="B28" s="16" t="s">
        <v>241</v>
      </c>
      <c r="C28" s="36" t="s">
        <v>289</v>
      </c>
      <c r="D28" s="12">
        <v>3</v>
      </c>
      <c r="E28" s="37">
        <f>AVERAGE('3. Raw Data'!H56:H58)</f>
        <v>181</v>
      </c>
      <c r="F28" s="17">
        <f>STDEV('3. Raw Data'!H56:H58)</f>
        <v>0.61878914017619802</v>
      </c>
      <c r="G28" s="17">
        <f t="shared" si="0"/>
        <v>0.34187245313602099</v>
      </c>
      <c r="H28" s="17">
        <f t="shared" si="1"/>
        <v>1.5371574387332554</v>
      </c>
      <c r="I28" s="38">
        <f>AVERAGE('3. Raw Data'!I56:I58)</f>
        <v>248.55999999999997</v>
      </c>
      <c r="J28" s="20">
        <f>AVERAGE('3. Raw Data'!J56:J58)</f>
        <v>0.78425409337909358</v>
      </c>
      <c r="K28" s="18">
        <f>AVERAGE('3. Raw Data'!K56:K58)</f>
        <v>94918.905480852816</v>
      </c>
      <c r="L28" s="18">
        <f>AVERAGE('3. Raw Data'!L56:L58)</f>
        <v>512</v>
      </c>
      <c r="M28" s="38">
        <f>AVERAGE('3. Raw Data'!P56:P58)</f>
        <v>52.156666666666666</v>
      </c>
      <c r="N28" s="20">
        <f>AVERAGE('3. Raw Data'!R56:R58)</f>
        <v>0.39173902116402132</v>
      </c>
      <c r="O28" s="20">
        <f>AVERAGE('3. Raw Data'!S56:S58)</f>
        <v>1.1759931145431135</v>
      </c>
      <c r="P28" s="18">
        <f>AVERAGE('3. Raw Data'!V56:V58)</f>
        <v>2889.6666666666665</v>
      </c>
      <c r="Q28" s="38">
        <f>E28-E10</f>
        <v>65.75333333333333</v>
      </c>
      <c r="R28" s="38">
        <f>(E28-E10)/E10*100</f>
        <v>57.054433967721408</v>
      </c>
      <c r="S28" s="46">
        <f>TTEST('3. Raw Data'!H56:H58,'3. Raw Data'!H2:H4,2,3)</f>
        <v>1.9525777894419595E-5</v>
      </c>
      <c r="T28" s="35" t="str">
        <f t="shared" si="3"/>
        <v>yes</v>
      </c>
      <c r="U28" s="12" t="str">
        <f t="shared" si="2"/>
        <v>Excellent</v>
      </c>
    </row>
    <row r="29" spans="1:21" x14ac:dyDescent="0.25">
      <c r="A29" s="41">
        <v>20</v>
      </c>
      <c r="B29" s="22" t="s">
        <v>242</v>
      </c>
      <c r="C29" s="42" t="s">
        <v>289</v>
      </c>
      <c r="D29" s="15">
        <v>3</v>
      </c>
      <c r="E29" s="43">
        <f>AVERAGE('3. Raw Data'!H59:H61)</f>
        <v>181.32333333333335</v>
      </c>
      <c r="F29" s="23">
        <f>STDEV('3. Raw Data'!H59:H61)</f>
        <v>0.35949038002892653</v>
      </c>
      <c r="G29" s="23">
        <f t="shared" si="0"/>
        <v>0.19825930475702327</v>
      </c>
      <c r="H29" s="23">
        <f t="shared" si="1"/>
        <v>0.89302361004131436</v>
      </c>
      <c r="I29" s="44">
        <f>AVERAGE('3. Raw Data'!I59:I61)</f>
        <v>248.58</v>
      </c>
      <c r="J29" s="26">
        <f>AVERAGE('3. Raw Data'!J59:J61)</f>
        <v>0.83211096096096104</v>
      </c>
      <c r="K29" s="24">
        <f>AVERAGE('3. Raw Data'!K59:K61)</f>
        <v>100744.02214286034</v>
      </c>
      <c r="L29" s="24">
        <f>AVERAGE('3. Raw Data'!L59:L61)</f>
        <v>512</v>
      </c>
      <c r="M29" s="44">
        <f>AVERAGE('3. Raw Data'!P59:P61)</f>
        <v>51.53</v>
      </c>
      <c r="N29" s="26">
        <f>AVERAGE('3. Raw Data'!R59:R61)</f>
        <v>0.43549306806806837</v>
      </c>
      <c r="O29" s="26">
        <f>AVERAGE('3. Raw Data'!S59:S61)</f>
        <v>1.26760402902903</v>
      </c>
      <c r="P29" s="24">
        <f>AVERAGE('3. Raw Data'!V59:V61)</f>
        <v>2891.3333333333335</v>
      </c>
      <c r="Q29" s="44">
        <f>E29-E10</f>
        <v>66.076666666666682</v>
      </c>
      <c r="R29" s="44">
        <f>(E29-E10)/E10*100</f>
        <v>57.334991612194145</v>
      </c>
      <c r="S29" s="45">
        <f>TTEST('3. Raw Data'!H59:H61,'3. Raw Data'!H2:H4,2,3)</f>
        <v>2.5280229504910485E-6</v>
      </c>
      <c r="T29" s="41" t="str">
        <f t="shared" si="3"/>
        <v>yes</v>
      </c>
      <c r="U29" s="15" t="str">
        <f t="shared" si="2"/>
        <v>Excellent</v>
      </c>
    </row>
    <row r="30" spans="1:21" x14ac:dyDescent="0.25">
      <c r="A30" s="35">
        <v>21</v>
      </c>
      <c r="B30" s="16" t="s">
        <v>244</v>
      </c>
      <c r="C30" s="36" t="s">
        <v>289</v>
      </c>
      <c r="D30" s="12">
        <v>3</v>
      </c>
      <c r="E30" s="37">
        <f>AVERAGE('3. Raw Data'!H62:H64)</f>
        <v>181.32666666666668</v>
      </c>
      <c r="F30" s="17">
        <f>STDEV('3. Raw Data'!H62:H64)</f>
        <v>0.44286943147313124</v>
      </c>
      <c r="G30" s="17">
        <f t="shared" si="0"/>
        <v>0.24423844524052238</v>
      </c>
      <c r="H30" s="17">
        <f t="shared" si="1"/>
        <v>1.1001486561038343</v>
      </c>
      <c r="I30" s="38">
        <f>AVERAGE('3. Raw Data'!I62:I64)</f>
        <v>248.6</v>
      </c>
      <c r="J30" s="20">
        <f>AVERAGE('3. Raw Data'!J62:J64)</f>
        <v>0.83372147147147135</v>
      </c>
      <c r="K30" s="18">
        <f>AVERAGE('3. Raw Data'!K62:K64)</f>
        <v>100954.32046605001</v>
      </c>
      <c r="L30" s="18">
        <f>AVERAGE('3. Raw Data'!L62:L64)</f>
        <v>699392</v>
      </c>
      <c r="M30" s="38">
        <f>AVERAGE('3. Raw Data'!P62:P64)</f>
        <v>51.65</v>
      </c>
      <c r="N30" s="20">
        <f>AVERAGE('3. Raw Data'!R62:R64)</f>
        <v>0.43695422922922927</v>
      </c>
      <c r="O30" s="20">
        <f>AVERAGE('3. Raw Data'!S62:S64)</f>
        <v>1.2706757007006999</v>
      </c>
      <c r="P30" s="18">
        <f>AVERAGE('3. Raw Data'!V62:V64)</f>
        <v>2890.3333333333335</v>
      </c>
      <c r="Q30" s="38">
        <f>E30-E10</f>
        <v>66.080000000000013</v>
      </c>
      <c r="R30" s="38">
        <f>(E30-E10)/E10*100</f>
        <v>57.337883959044376</v>
      </c>
      <c r="S30" s="46">
        <f>TTEST('3. Raw Data'!H62:H64,'3. Raw Data'!H2:H4,2,3)</f>
        <v>6.3035273055459468E-6</v>
      </c>
      <c r="T30" s="35" t="str">
        <f t="shared" si="3"/>
        <v>yes</v>
      </c>
      <c r="U30" s="12" t="str">
        <f t="shared" si="2"/>
        <v>Excellent</v>
      </c>
    </row>
    <row r="31" spans="1:21" x14ac:dyDescent="0.25">
      <c r="A31" s="41">
        <v>22</v>
      </c>
      <c r="B31" s="22" t="s">
        <v>245</v>
      </c>
      <c r="C31" s="42" t="s">
        <v>289</v>
      </c>
      <c r="D31" s="15">
        <v>3</v>
      </c>
      <c r="E31" s="43">
        <f>AVERAGE('3. Raw Data'!H65:H67)</f>
        <v>181.41666666666666</v>
      </c>
      <c r="F31" s="23">
        <f>STDEV('3. Raw Data'!H65:H67)</f>
        <v>1.1417676354378481</v>
      </c>
      <c r="G31" s="23">
        <f t="shared" si="0"/>
        <v>0.62936204066394941</v>
      </c>
      <c r="H31" s="23">
        <f t="shared" si="1"/>
        <v>2.836308041247162</v>
      </c>
      <c r="I31" s="44">
        <f>AVERAGE('3. Raw Data'!I65:I67)</f>
        <v>248.58666666666667</v>
      </c>
      <c r="J31" s="26">
        <f>AVERAGE('3. Raw Data'!J65:J67)</f>
        <v>0.85131965221034955</v>
      </c>
      <c r="K31" s="24">
        <f>AVERAGE('3. Raw Data'!K65:K67)</f>
        <v>103347.67292968731</v>
      </c>
      <c r="L31" s="24">
        <f>AVERAGE('3. Raw Data'!L65:L67)</f>
        <v>512</v>
      </c>
      <c r="M31" s="44">
        <f>AVERAGE('3. Raw Data'!P65:P67)</f>
        <v>51.183333333333337</v>
      </c>
      <c r="N31" s="26">
        <f>AVERAGE('3. Raw Data'!R65:R67)</f>
        <v>0.43160289878429436</v>
      </c>
      <c r="O31" s="26">
        <f>AVERAGE('3. Raw Data'!S65:S67)</f>
        <v>1.2829225509946436</v>
      </c>
      <c r="P31" s="24">
        <f>AVERAGE('3. Raw Data'!V65:V67)</f>
        <v>2891.3333333333335</v>
      </c>
      <c r="Q31" s="44">
        <f>E31-E10</f>
        <v>66.169999999999987</v>
      </c>
      <c r="R31" s="44">
        <f>(E31-E10)/E10*100</f>
        <v>57.415977324000679</v>
      </c>
      <c r="S31" s="45">
        <f>TTEST('3. Raw Data'!H65:H67,'3. Raw Data'!H2:H4,2,3)</f>
        <v>8.9359925076551842E-5</v>
      </c>
      <c r="T31" s="41" t="str">
        <f t="shared" si="3"/>
        <v>yes</v>
      </c>
      <c r="U31" s="15" t="str">
        <f t="shared" si="2"/>
        <v>Excellent</v>
      </c>
    </row>
    <row r="32" spans="1:21" x14ac:dyDescent="0.25">
      <c r="A32" s="35">
        <v>23</v>
      </c>
      <c r="B32" s="16" t="s">
        <v>246</v>
      </c>
      <c r="C32" s="36" t="s">
        <v>289</v>
      </c>
      <c r="D32" s="12">
        <v>3</v>
      </c>
      <c r="E32" s="37">
        <f>AVERAGE('3. Raw Data'!H68:H70)</f>
        <v>181.86333333333332</v>
      </c>
      <c r="F32" s="17">
        <f>STDEV('3. Raw Data'!H68:H70)</f>
        <v>0.92743373527887563</v>
      </c>
      <c r="G32" s="17">
        <f t="shared" si="0"/>
        <v>0.50996191386143941</v>
      </c>
      <c r="H32" s="17">
        <f t="shared" si="1"/>
        <v>2.3038731169557285</v>
      </c>
      <c r="I32" s="38">
        <f>AVERAGE('3. Raw Data'!I68:I70)</f>
        <v>248.61666666666667</v>
      </c>
      <c r="J32" s="20">
        <f>AVERAGE('3. Raw Data'!J68:J70)</f>
        <v>0.83844722222222234</v>
      </c>
      <c r="K32" s="18">
        <f>AVERAGE('3. Raw Data'!K68:K70)</f>
        <v>100622.10359545902</v>
      </c>
      <c r="L32" s="18">
        <f>AVERAGE('3. Raw Data'!L68:L70)</f>
        <v>512</v>
      </c>
      <c r="M32" s="38">
        <f>AVERAGE('3. Raw Data'!P68:P70)</f>
        <v>51.766666666666659</v>
      </c>
      <c r="N32" s="20">
        <f>AVERAGE('3. Raw Data'!R68:R70)</f>
        <v>0.44015833333333337</v>
      </c>
      <c r="O32" s="20">
        <f>AVERAGE('3. Raw Data'!S68:S70)</f>
        <v>1.2786055555555567</v>
      </c>
      <c r="P32" s="18">
        <f>AVERAGE('3. Raw Data'!V68:V70)</f>
        <v>2889.6666666666665</v>
      </c>
      <c r="Q32" s="38">
        <f>E32-E10</f>
        <v>66.616666666666646</v>
      </c>
      <c r="R32" s="38">
        <f>(E32-E10)/E10*100</f>
        <v>57.803551801932059</v>
      </c>
      <c r="S32" s="46">
        <f>TTEST('3. Raw Data'!H68:H70,'3. Raw Data'!H2:H4,2,3)</f>
        <v>5.4618756884496943E-5</v>
      </c>
      <c r="T32" s="35" t="str">
        <f t="shared" si="3"/>
        <v>yes</v>
      </c>
      <c r="U32" s="12" t="str">
        <f t="shared" si="2"/>
        <v>Excellent</v>
      </c>
    </row>
    <row r="33" spans="1:21" x14ac:dyDescent="0.25">
      <c r="A33" s="41">
        <v>24</v>
      </c>
      <c r="B33" s="22" t="s">
        <v>247</v>
      </c>
      <c r="C33" s="42" t="s">
        <v>289</v>
      </c>
      <c r="D33" s="15">
        <v>3</v>
      </c>
      <c r="E33" s="43">
        <f>AVERAGE('3. Raw Data'!H71:H73)</f>
        <v>182.09</v>
      </c>
      <c r="F33" s="23">
        <f>STDEV('3. Raw Data'!H71:H73)</f>
        <v>1.1053053876644268</v>
      </c>
      <c r="G33" s="23">
        <f t="shared" si="0"/>
        <v>0.60701048254403145</v>
      </c>
      <c r="H33" s="23">
        <f t="shared" si="1"/>
        <v>2.7457307964980218</v>
      </c>
      <c r="I33" s="44">
        <f>AVERAGE('3. Raw Data'!I71:I73)</f>
        <v>248.80000000000004</v>
      </c>
      <c r="J33" s="26">
        <f>AVERAGE('3. Raw Data'!J71:J73)</f>
        <v>0.84007500000000024</v>
      </c>
      <c r="K33" s="24">
        <f>AVERAGE('3. Raw Data'!K71:K73)</f>
        <v>100818.54591308099</v>
      </c>
      <c r="L33" s="24">
        <f>AVERAGE('3. Raw Data'!L71:L73)</f>
        <v>512</v>
      </c>
      <c r="M33" s="44">
        <f>AVERAGE('3. Raw Data'!P71:P73)</f>
        <v>51.786666666666669</v>
      </c>
      <c r="N33" s="26">
        <f>AVERAGE('3. Raw Data'!R71:R73)</f>
        <v>0.44111574074074095</v>
      </c>
      <c r="O33" s="26">
        <f>AVERAGE('3. Raw Data'!S71:S73)</f>
        <v>1.2811907407407401</v>
      </c>
      <c r="P33" s="24">
        <f>AVERAGE('3. Raw Data'!V71:V73)</f>
        <v>2890</v>
      </c>
      <c r="Q33" s="44">
        <f>E33-E10</f>
        <v>66.843333333333334</v>
      </c>
      <c r="R33" s="44">
        <f>(E33-E10)/E10*100</f>
        <v>58.000231387748016</v>
      </c>
      <c r="S33" s="45">
        <f>TTEST('3. Raw Data'!H71:H73,'3. Raw Data'!H2:H4,2,3)</f>
        <v>8.1387810178604149E-5</v>
      </c>
      <c r="T33" s="41" t="str">
        <f t="shared" si="3"/>
        <v>yes</v>
      </c>
      <c r="U33" s="15" t="str">
        <f t="shared" si="2"/>
        <v>Excellent</v>
      </c>
    </row>
    <row r="34" spans="1:21" x14ac:dyDescent="0.25">
      <c r="A34" s="35">
        <v>25</v>
      </c>
      <c r="B34" s="16" t="s">
        <v>248</v>
      </c>
      <c r="C34" s="36" t="s">
        <v>289</v>
      </c>
      <c r="D34" s="12">
        <v>3</v>
      </c>
      <c r="E34" s="37">
        <f>AVERAGE('3. Raw Data'!H74:H76)</f>
        <v>183.22</v>
      </c>
      <c r="F34" s="17">
        <f>STDEV('3. Raw Data'!H74:H76)</f>
        <v>2.3607414089645729</v>
      </c>
      <c r="G34" s="17">
        <f t="shared" si="0"/>
        <v>1.2884736431418913</v>
      </c>
      <c r="H34" s="17">
        <f t="shared" si="1"/>
        <v>5.8644067616995068</v>
      </c>
      <c r="I34" s="38">
        <f>AVERAGE('3. Raw Data'!I74:I76)</f>
        <v>248.74666666666667</v>
      </c>
      <c r="J34" s="20">
        <f>AVERAGE('3. Raw Data'!J74:J76)</f>
        <v>0.8058870370370369</v>
      </c>
      <c r="K34" s="18">
        <f>AVERAGE('3. Raw Data'!K74:K76)</f>
        <v>96710.542960192586</v>
      </c>
      <c r="L34" s="18">
        <f>AVERAGE('3. Raw Data'!L74:L76)</f>
        <v>512</v>
      </c>
      <c r="M34" s="38">
        <f>AVERAGE('3. Raw Data'!P74:P76)</f>
        <v>49.576666666666661</v>
      </c>
      <c r="N34" s="20">
        <f>AVERAGE('3. Raw Data'!R74:R76)</f>
        <v>0.46765833333333329</v>
      </c>
      <c r="O34" s="20">
        <f>AVERAGE('3. Raw Data'!S74:S76)</f>
        <v>1.2735453703703732</v>
      </c>
      <c r="P34" s="18">
        <f>AVERAGE('3. Raw Data'!V74:V76)</f>
        <v>2890.6666666666665</v>
      </c>
      <c r="Q34" s="38">
        <f>E34-E10</f>
        <v>67.973333333333329</v>
      </c>
      <c r="R34" s="38">
        <f>(E34-E10)/E10*100</f>
        <v>58.980736969977428</v>
      </c>
      <c r="S34" s="46">
        <f>TTEST('3. Raw Data'!H74:H76,'3. Raw Data'!H2:H4,2,3)</f>
        <v>3.9390142912675013E-4</v>
      </c>
      <c r="T34" s="35" t="str">
        <f t="shared" si="3"/>
        <v>yes</v>
      </c>
      <c r="U34" s="12" t="str">
        <f t="shared" si="2"/>
        <v>Good</v>
      </c>
    </row>
    <row r="35" spans="1:21" x14ac:dyDescent="0.25">
      <c r="A35" s="41">
        <v>26</v>
      </c>
      <c r="B35" s="22" t="s">
        <v>249</v>
      </c>
      <c r="C35" s="42" t="s">
        <v>289</v>
      </c>
      <c r="D35" s="15">
        <v>3</v>
      </c>
      <c r="E35" s="43">
        <f>AVERAGE('3. Raw Data'!H77:H79)</f>
        <v>183.26666666666665</v>
      </c>
      <c r="F35" s="23">
        <f>STDEV('3. Raw Data'!H77:H79)</f>
        <v>0.25540817005987798</v>
      </c>
      <c r="G35" s="23">
        <f t="shared" si="0"/>
        <v>0.13936422520546271</v>
      </c>
      <c r="H35" s="23">
        <f t="shared" si="1"/>
        <v>0.63446906713488471</v>
      </c>
      <c r="I35" s="44">
        <f>AVERAGE('3. Raw Data'!I77:I79)</f>
        <v>248.75666666666666</v>
      </c>
      <c r="J35" s="26">
        <f>AVERAGE('3. Raw Data'!J77:J79)</f>
        <v>0.83644814814814794</v>
      </c>
      <c r="K35" s="24">
        <f>AVERAGE('3. Raw Data'!K77:K79)</f>
        <v>100404.7441372571</v>
      </c>
      <c r="L35" s="24">
        <f>AVERAGE('3. Raw Data'!L77:L79)</f>
        <v>512</v>
      </c>
      <c r="M35" s="44">
        <f>AVERAGE('3. Raw Data'!P77:P79)</f>
        <v>52.79</v>
      </c>
      <c r="N35" s="26">
        <f>AVERAGE('3. Raw Data'!R77:R79)</f>
        <v>0.4408694444444447</v>
      </c>
      <c r="O35" s="26">
        <f>AVERAGE('3. Raw Data'!S77:S79)</f>
        <v>1.2773175925925901</v>
      </c>
      <c r="P35" s="24">
        <f>AVERAGE('3. Raw Data'!V77:V79)</f>
        <v>2890</v>
      </c>
      <c r="Q35" s="44">
        <f>E35-E10</f>
        <v>68.019999999999982</v>
      </c>
      <c r="R35" s="44">
        <f>(E35-E10)/E10*100</f>
        <v>59.021229825880702</v>
      </c>
      <c r="S35" s="45">
        <f>TTEST('3. Raw Data'!H77:H79,'3. Raw Data'!H2:H4,2,3)</f>
        <v>2.7798959882309324E-7</v>
      </c>
      <c r="T35" s="41" t="str">
        <f t="shared" si="3"/>
        <v>yes</v>
      </c>
      <c r="U35" s="15" t="str">
        <f t="shared" si="2"/>
        <v>Excellent</v>
      </c>
    </row>
    <row r="36" spans="1:21" x14ac:dyDescent="0.25">
      <c r="A36" s="35">
        <v>27</v>
      </c>
      <c r="B36" s="16" t="s">
        <v>250</v>
      </c>
      <c r="C36" s="36" t="s">
        <v>289</v>
      </c>
      <c r="D36" s="12">
        <v>3</v>
      </c>
      <c r="E36" s="37">
        <f>AVERAGE('3. Raw Data'!H80:H82)</f>
        <v>183.73333333333332</v>
      </c>
      <c r="F36" s="17">
        <f>STDEV('3. Raw Data'!H80:H82)</f>
        <v>1.0059986746180816</v>
      </c>
      <c r="G36" s="17">
        <f t="shared" si="0"/>
        <v>0.54753193466151029</v>
      </c>
      <c r="H36" s="17">
        <f t="shared" si="1"/>
        <v>2.4990392455896271</v>
      </c>
      <c r="I36" s="38">
        <f>AVERAGE('3. Raw Data'!I80:I82)</f>
        <v>248.82333333333335</v>
      </c>
      <c r="J36" s="20">
        <f>AVERAGE('3. Raw Data'!J80:J82)</f>
        <v>0.79810227727727689</v>
      </c>
      <c r="K36" s="18">
        <f>AVERAGE('3. Raw Data'!K80:K82)</f>
        <v>96091.817610663726</v>
      </c>
      <c r="L36" s="18">
        <f>AVERAGE('3. Raw Data'!L80:L82)</f>
        <v>512</v>
      </c>
      <c r="M36" s="38">
        <f>AVERAGE('3. Raw Data'!P80:P82)</f>
        <v>50.313333333333333</v>
      </c>
      <c r="N36" s="20">
        <f>AVERAGE('3. Raw Data'!R80:R82)</f>
        <v>0.45438495995995992</v>
      </c>
      <c r="O36" s="20">
        <f>AVERAGE('3. Raw Data'!S80:S82)</f>
        <v>1.2524872372372367</v>
      </c>
      <c r="P36" s="18">
        <f>AVERAGE('3. Raw Data'!V80:V82)</f>
        <v>2890</v>
      </c>
      <c r="Q36" s="38">
        <f>E36-E10</f>
        <v>68.48666666666665</v>
      </c>
      <c r="R36" s="38">
        <f>(E36-E10)/E10*100</f>
        <v>59.426158384913506</v>
      </c>
      <c r="S36" s="46">
        <f>TTEST('3. Raw Data'!H80:H82,'3. Raw Data'!H2:H4,2,3)</f>
        <v>6.2471619459804895E-5</v>
      </c>
      <c r="T36" s="35" t="str">
        <f t="shared" si="3"/>
        <v>yes</v>
      </c>
      <c r="U36" s="12" t="str">
        <f t="shared" si="2"/>
        <v>Excellent</v>
      </c>
    </row>
    <row r="37" spans="1:21" x14ac:dyDescent="0.25">
      <c r="A37" s="41">
        <v>28</v>
      </c>
      <c r="B37" s="22" t="s">
        <v>251</v>
      </c>
      <c r="C37" s="42" t="s">
        <v>289</v>
      </c>
      <c r="D37" s="15">
        <v>3</v>
      </c>
      <c r="E37" s="43">
        <f>AVERAGE('3. Raw Data'!H83:H85)</f>
        <v>184.25</v>
      </c>
      <c r="F37" s="23">
        <f>STDEV('3. Raw Data'!H83:H85)</f>
        <v>0.56665686266028603</v>
      </c>
      <c r="G37" s="23">
        <f t="shared" si="0"/>
        <v>0.30754782233936828</v>
      </c>
      <c r="H37" s="23">
        <f t="shared" si="1"/>
        <v>1.4076536821565444</v>
      </c>
      <c r="I37" s="44">
        <f>AVERAGE('3. Raw Data'!I83:I85)</f>
        <v>249.04333333333332</v>
      </c>
      <c r="J37" s="26">
        <f>AVERAGE('3. Raw Data'!J83:J85)</f>
        <v>0.83534074074074105</v>
      </c>
      <c r="K37" s="24">
        <f>AVERAGE('3. Raw Data'!K83:K85)</f>
        <v>100277.08199527499</v>
      </c>
      <c r="L37" s="24">
        <f>AVERAGE('3. Raw Data'!L83:L85)</f>
        <v>426.66666666666669</v>
      </c>
      <c r="M37" s="44">
        <f>AVERAGE('3. Raw Data'!P83:P85)</f>
        <v>52.890000000000008</v>
      </c>
      <c r="N37" s="26">
        <f>AVERAGE('3. Raw Data'!R83:R85)</f>
        <v>0.43793981481481503</v>
      </c>
      <c r="O37" s="26">
        <f>AVERAGE('3. Raw Data'!S83:S85)</f>
        <v>1.27328055555556</v>
      </c>
      <c r="P37" s="24">
        <f>AVERAGE('3. Raw Data'!V83:V85)</f>
        <v>2889.6666666666665</v>
      </c>
      <c r="Q37" s="44">
        <f>E37-E10</f>
        <v>69.00333333333333</v>
      </c>
      <c r="R37" s="44">
        <f>(E37-E10)/E10*100</f>
        <v>59.87447214669983</v>
      </c>
      <c r="S37" s="45">
        <f>TTEST('3. Raw Data'!H83:H85,'3. Raw Data'!H2:H4,2,3)</f>
        <v>1.3526945645608359E-5</v>
      </c>
      <c r="T37" s="41" t="str">
        <f t="shared" si="3"/>
        <v>yes</v>
      </c>
      <c r="U37" s="15" t="str">
        <f t="shared" si="2"/>
        <v>Excellent</v>
      </c>
    </row>
    <row r="38" spans="1:21" x14ac:dyDescent="0.25">
      <c r="A38" s="35">
        <v>29</v>
      </c>
      <c r="B38" s="16" t="s">
        <v>252</v>
      </c>
      <c r="C38" s="36" t="s">
        <v>289</v>
      </c>
      <c r="D38" s="12">
        <v>3</v>
      </c>
      <c r="E38" s="37">
        <f>AVERAGE('3. Raw Data'!H86:H88)</f>
        <v>184.26666666666665</v>
      </c>
      <c r="F38" s="17">
        <f>STDEV('3. Raw Data'!H86:H88)</f>
        <v>1.8308832112762743</v>
      </c>
      <c r="G38" s="17">
        <f t="shared" si="0"/>
        <v>0.99360521596035156</v>
      </c>
      <c r="H38" s="17">
        <f t="shared" si="1"/>
        <v>4.5481660309419425</v>
      </c>
      <c r="I38" s="38">
        <f>AVERAGE('3. Raw Data'!I86:I88)</f>
        <v>248.85333333333335</v>
      </c>
      <c r="J38" s="20">
        <f>AVERAGE('3. Raw Data'!J86:J88)</f>
        <v>0.7969228049478051</v>
      </c>
      <c r="K38" s="18">
        <f>AVERAGE('3. Raw Data'!K86:K88)</f>
        <v>96573.872613572676</v>
      </c>
      <c r="L38" s="18">
        <f>AVERAGE('3. Raw Data'!L86:L88)</f>
        <v>512</v>
      </c>
      <c r="M38" s="38">
        <f>AVERAGE('3. Raw Data'!P86:P88)</f>
        <v>49.943333333333328</v>
      </c>
      <c r="N38" s="20">
        <f>AVERAGE('3. Raw Data'!R86:R88)</f>
        <v>0.45800110825110835</v>
      </c>
      <c r="O38" s="20">
        <f>AVERAGE('3. Raw Data'!S86:S88)</f>
        <v>1.2549239131989167</v>
      </c>
      <c r="P38" s="18">
        <f>AVERAGE('3. Raw Data'!V86:V88)</f>
        <v>2889</v>
      </c>
      <c r="Q38" s="38">
        <f>E38-E10</f>
        <v>69.019999999999982</v>
      </c>
      <c r="R38" s="38">
        <f>(E38-E10)/E10*100</f>
        <v>59.888933880950987</v>
      </c>
      <c r="S38" s="46">
        <f>TTEST('3. Raw Data'!H86:H88,'3. Raw Data'!H2:H4,2,3)</f>
        <v>2.2617026104570384E-4</v>
      </c>
      <c r="T38" s="35" t="str">
        <f t="shared" si="3"/>
        <v>yes</v>
      </c>
      <c r="U38" s="12" t="str">
        <f t="shared" si="2"/>
        <v>Excellent</v>
      </c>
    </row>
    <row r="39" spans="1:21" x14ac:dyDescent="0.25">
      <c r="A39" s="41">
        <v>30</v>
      </c>
      <c r="B39" s="22" t="s">
        <v>253</v>
      </c>
      <c r="C39" s="42" t="s">
        <v>289</v>
      </c>
      <c r="D39" s="15">
        <v>3</v>
      </c>
      <c r="E39" s="43">
        <f>AVERAGE('3. Raw Data'!H89:H91)</f>
        <v>184.44666666666663</v>
      </c>
      <c r="F39" s="23">
        <f>STDEV('3. Raw Data'!H89:H91)</f>
        <v>1.0661300733650323</v>
      </c>
      <c r="G39" s="23">
        <f t="shared" si="0"/>
        <v>0.57801536489230809</v>
      </c>
      <c r="H39" s="23">
        <f t="shared" si="1"/>
        <v>2.6484139208772244</v>
      </c>
      <c r="I39" s="44">
        <f>AVERAGE('3. Raw Data'!I89:I91)</f>
        <v>249.04666666666665</v>
      </c>
      <c r="J39" s="26">
        <f>AVERAGE('3. Raw Data'!J89:J91)</f>
        <v>0.83745370370370364</v>
      </c>
      <c r="K39" s="24">
        <f>AVERAGE('3. Raw Data'!K89:K91)</f>
        <v>100531.61569701467</v>
      </c>
      <c r="L39" s="24">
        <f>AVERAGE('3. Raw Data'!L89:L91)</f>
        <v>512</v>
      </c>
      <c r="M39" s="44">
        <f>AVERAGE('3. Raw Data'!P89:P91)</f>
        <v>52.916666666666664</v>
      </c>
      <c r="N39" s="26">
        <f>AVERAGE('3. Raw Data'!R89:R91)</f>
        <v>0.43914166666666671</v>
      </c>
      <c r="O39" s="26">
        <f>AVERAGE('3. Raw Data'!S89:S91)</f>
        <v>1.2765953703703699</v>
      </c>
      <c r="P39" s="24">
        <f>AVERAGE('3. Raw Data'!V89:V91)</f>
        <v>2888.6666666666665</v>
      </c>
      <c r="Q39" s="44">
        <f>E39-E10</f>
        <v>69.19999999999996</v>
      </c>
      <c r="R39" s="44">
        <f>(E39-E10)/E10*100</f>
        <v>60.04512061086362</v>
      </c>
      <c r="S39" s="45">
        <f>TTEST('3. Raw Data'!H89:H91,'3. Raw Data'!H2:H4,2,3)</f>
        <v>6.9897631922897715E-5</v>
      </c>
      <c r="T39" s="41" t="str">
        <f t="shared" si="3"/>
        <v>yes</v>
      </c>
      <c r="U39" s="15" t="str">
        <f t="shared" si="2"/>
        <v>Excellent</v>
      </c>
    </row>
    <row r="40" spans="1:21" x14ac:dyDescent="0.25">
      <c r="A40" s="35">
        <v>31</v>
      </c>
      <c r="B40" s="16" t="s">
        <v>254</v>
      </c>
      <c r="C40" s="36" t="s">
        <v>289</v>
      </c>
      <c r="D40" s="12">
        <v>3</v>
      </c>
      <c r="E40" s="37">
        <f>AVERAGE('3. Raw Data'!H92:H94)</f>
        <v>184.97000000000003</v>
      </c>
      <c r="F40" s="17">
        <f>STDEV('3. Raw Data'!H92:H94)</f>
        <v>0.36510272527056936</v>
      </c>
      <c r="G40" s="17">
        <f t="shared" si="0"/>
        <v>0.19738483282184641</v>
      </c>
      <c r="H40" s="17">
        <f t="shared" si="1"/>
        <v>0.90696544850744198</v>
      </c>
      <c r="I40" s="38">
        <f>AVERAGE('3. Raw Data'!I92:I94)</f>
        <v>248.92333333333332</v>
      </c>
      <c r="J40" s="20">
        <f>AVERAGE('3. Raw Data'!J92:J94)</f>
        <v>0.80348703703703694</v>
      </c>
      <c r="K40" s="18">
        <f>AVERAGE('3. Raw Data'!K92:K94)</f>
        <v>96429.383319644257</v>
      </c>
      <c r="L40" s="18">
        <f>AVERAGE('3. Raw Data'!L92:L94)</f>
        <v>512</v>
      </c>
      <c r="M40" s="38">
        <f>AVERAGE('3. Raw Data'!P92:P94)</f>
        <v>50.286666666666669</v>
      </c>
      <c r="N40" s="20">
        <f>AVERAGE('3. Raw Data'!R92:R94)</f>
        <v>0.45768981481481469</v>
      </c>
      <c r="O40" s="20">
        <f>AVERAGE('3. Raw Data'!S92:S94)</f>
        <v>1.26117685185185</v>
      </c>
      <c r="P40" s="18">
        <f>AVERAGE('3. Raw Data'!V92:V94)</f>
        <v>2888.6666666666665</v>
      </c>
      <c r="Q40" s="38">
        <f>E40-E10</f>
        <v>69.723333333333358</v>
      </c>
      <c r="R40" s="38">
        <f>(E40-E10)/E10*100</f>
        <v>60.499219066350449</v>
      </c>
      <c r="S40" s="46">
        <f>TTEST('3. Raw Data'!H92:H94,'3. Raw Data'!H2:H4,2,3)</f>
        <v>2.4133163370282953E-6</v>
      </c>
      <c r="T40" s="35" t="str">
        <f t="shared" si="3"/>
        <v>yes</v>
      </c>
      <c r="U40" s="12" t="str">
        <f t="shared" si="2"/>
        <v>Excellent</v>
      </c>
    </row>
    <row r="41" spans="1:21" x14ac:dyDescent="0.25">
      <c r="A41" s="41">
        <v>32</v>
      </c>
      <c r="B41" s="22" t="s">
        <v>255</v>
      </c>
      <c r="C41" s="42" t="s">
        <v>289</v>
      </c>
      <c r="D41" s="15">
        <v>3</v>
      </c>
      <c r="E41" s="43">
        <f>AVERAGE('3. Raw Data'!H95:H97)</f>
        <v>186.24666666666667</v>
      </c>
      <c r="F41" s="23">
        <f>STDEV('3. Raw Data'!H95:H97)</f>
        <v>0.48993196806632333</v>
      </c>
      <c r="G41" s="23">
        <f t="shared" si="0"/>
        <v>0.26305542903657692</v>
      </c>
      <c r="H41" s="23">
        <f t="shared" si="1"/>
        <v>1.2170584780656128</v>
      </c>
      <c r="I41" s="44">
        <f>AVERAGE('3. Raw Data'!I95:I97)</f>
        <v>249.0566666666667</v>
      </c>
      <c r="J41" s="26">
        <f>AVERAGE('3. Raw Data'!J95:J97)</f>
        <v>0.79695713213213237</v>
      </c>
      <c r="K41" s="24">
        <f>AVERAGE('3. Raw Data'!K95:K97)</f>
        <v>96642.031647438533</v>
      </c>
      <c r="L41" s="24">
        <f>AVERAGE('3. Raw Data'!L95:L97)</f>
        <v>512</v>
      </c>
      <c r="M41" s="44">
        <f>AVERAGE('3. Raw Data'!P95:P97)</f>
        <v>51.110000000000007</v>
      </c>
      <c r="N41" s="26">
        <f>AVERAGE('3. Raw Data'!R95:R97)</f>
        <v>0.44645098670098665</v>
      </c>
      <c r="O41" s="26">
        <f>AVERAGE('3. Raw Data'!S95:S97)</f>
        <v>1.2434081188331201</v>
      </c>
      <c r="P41" s="24">
        <f>AVERAGE('3. Raw Data'!V95:V97)</f>
        <v>2890</v>
      </c>
      <c r="Q41" s="44">
        <f>E41-E10</f>
        <v>71</v>
      </c>
      <c r="R41" s="44">
        <f>(E41-E10)/E10*100</f>
        <v>61.60698790999016</v>
      </c>
      <c r="S41" s="45">
        <f>TTEST('3. Raw Data'!H95:H97,'3. Raw Data'!H2:H4,2,3)</f>
        <v>7.848615118054137E-6</v>
      </c>
      <c r="T41" s="41" t="str">
        <f t="shared" si="3"/>
        <v>yes</v>
      </c>
      <c r="U41" s="15" t="str">
        <f t="shared" si="2"/>
        <v>Excellent</v>
      </c>
    </row>
    <row r="42" spans="1:21" x14ac:dyDescent="0.25">
      <c r="A42" s="35">
        <v>33</v>
      </c>
      <c r="B42" s="16" t="s">
        <v>256</v>
      </c>
      <c r="C42" s="36" t="s">
        <v>289</v>
      </c>
      <c r="D42" s="12">
        <v>3</v>
      </c>
      <c r="E42" s="37">
        <f>AVERAGE('3. Raw Data'!H98:H100)</f>
        <v>186.27666666666664</v>
      </c>
      <c r="F42" s="17">
        <f>STDEV('3. Raw Data'!H98:H100)</f>
        <v>2.7000061728324467</v>
      </c>
      <c r="G42" s="17">
        <f t="shared" si="0"/>
        <v>1.4494602148233524</v>
      </c>
      <c r="H42" s="17">
        <f t="shared" si="1"/>
        <v>6.7071871558917637</v>
      </c>
      <c r="I42" s="38">
        <f>AVERAGE('3. Raw Data'!I98:I100)</f>
        <v>249.07000000000002</v>
      </c>
      <c r="J42" s="20">
        <f>AVERAGE('3. Raw Data'!J98:J100)</f>
        <v>0.8038575075075074</v>
      </c>
      <c r="K42" s="18">
        <f>AVERAGE('3. Raw Data'!K98:K100)</f>
        <v>97339.664194821074</v>
      </c>
      <c r="L42" s="18">
        <f>AVERAGE('3. Raw Data'!L98:L100)</f>
        <v>426.66666666666669</v>
      </c>
      <c r="M42" s="38">
        <f>AVERAGE('3. Raw Data'!P98:P100)</f>
        <v>50.523333333333333</v>
      </c>
      <c r="N42" s="20">
        <f>AVERAGE('3. Raw Data'!R98:R100)</f>
        <v>0.45148763763763772</v>
      </c>
      <c r="O42" s="20">
        <f>AVERAGE('3. Raw Data'!S98:S100)</f>
        <v>1.2553451451451432</v>
      </c>
      <c r="P42" s="18">
        <f>AVERAGE('3. Raw Data'!V98:V100)</f>
        <v>2890.6666666666665</v>
      </c>
      <c r="Q42" s="38">
        <f>E42-E10</f>
        <v>71.029999999999973</v>
      </c>
      <c r="R42" s="38">
        <f>(E42-E10)/E10*100</f>
        <v>61.633019031642242</v>
      </c>
      <c r="S42" s="46">
        <f>TTEST('3. Raw Data'!H98:H100,'3. Raw Data'!H2:H4,2,3)</f>
        <v>4.7423803865125465E-4</v>
      </c>
      <c r="T42" s="35" t="str">
        <f t="shared" si="3"/>
        <v>yes</v>
      </c>
      <c r="U42" s="12" t="str">
        <f t="shared" si="2"/>
        <v>Good</v>
      </c>
    </row>
    <row r="43" spans="1:21" x14ac:dyDescent="0.25">
      <c r="A43" s="41">
        <v>34</v>
      </c>
      <c r="B43" s="22" t="s">
        <v>257</v>
      </c>
      <c r="C43" s="42" t="s">
        <v>289</v>
      </c>
      <c r="D43" s="15">
        <v>3</v>
      </c>
      <c r="E43" s="43">
        <f>AVERAGE('3. Raw Data'!H101:H103)</f>
        <v>186.27666666666667</v>
      </c>
      <c r="F43" s="23">
        <f>STDEV('3. Raw Data'!H101:H103)</f>
        <v>2.1473316775322222</v>
      </c>
      <c r="G43" s="23">
        <f t="shared" si="0"/>
        <v>1.1527647106627537</v>
      </c>
      <c r="H43" s="23">
        <f t="shared" si="1"/>
        <v>5.3342675997938951</v>
      </c>
      <c r="I43" s="44">
        <f>AVERAGE('3. Raw Data'!I101:I103)</f>
        <v>249.06666666666669</v>
      </c>
      <c r="J43" s="26">
        <f>AVERAGE('3. Raw Data'!J101:J103)</f>
        <v>0.8040666666666666</v>
      </c>
      <c r="K43" s="24">
        <f>AVERAGE('3. Raw Data'!K101:K103)</f>
        <v>96512.935446948468</v>
      </c>
      <c r="L43" s="24">
        <f>AVERAGE('3. Raw Data'!L101:L103)</f>
        <v>699306.66666666663</v>
      </c>
      <c r="M43" s="44">
        <f>AVERAGE('3. Raw Data'!P101:P103)</f>
        <v>51.523333333333333</v>
      </c>
      <c r="N43" s="26">
        <f>AVERAGE('3. Raw Data'!R101:R103)</f>
        <v>0.45839444444444472</v>
      </c>
      <c r="O43" s="26">
        <f>AVERAGE('3. Raw Data'!S101:S103)</f>
        <v>1.2624611111111099</v>
      </c>
      <c r="P43" s="24">
        <f>AVERAGE('3. Raw Data'!V101:V103)</f>
        <v>2891.6666666666665</v>
      </c>
      <c r="Q43" s="44">
        <f>E43-E10</f>
        <v>71.03</v>
      </c>
      <c r="R43" s="44">
        <f>(E43-E10)/E10*100</f>
        <v>61.633019031642277</v>
      </c>
      <c r="S43" s="45">
        <f>TTEST('3. Raw Data'!H101:H103,'3. Raw Data'!H2:H4,2,3)</f>
        <v>2.9693448761036967E-4</v>
      </c>
      <c r="T43" s="41" t="str">
        <f t="shared" si="3"/>
        <v>yes</v>
      </c>
      <c r="U43" s="15" t="str">
        <f t="shared" si="2"/>
        <v>Good</v>
      </c>
    </row>
    <row r="44" spans="1:21" x14ac:dyDescent="0.25">
      <c r="A44" s="35">
        <v>35</v>
      </c>
      <c r="B44" s="16" t="s">
        <v>258</v>
      </c>
      <c r="C44" s="36" t="s">
        <v>289</v>
      </c>
      <c r="D44" s="12">
        <v>3</v>
      </c>
      <c r="E44" s="37">
        <f>AVERAGE('3. Raw Data'!H104:H106)</f>
        <v>186.62</v>
      </c>
      <c r="F44" s="17">
        <f>STDEV('3. Raw Data'!H104:H106)</f>
        <v>2.8342900345589177</v>
      </c>
      <c r="G44" s="17">
        <f t="shared" si="0"/>
        <v>1.5187493487080257</v>
      </c>
      <c r="H44" s="17">
        <f t="shared" si="1"/>
        <v>7.0407667608859565</v>
      </c>
      <c r="I44" s="38">
        <f>AVERAGE('3. Raw Data'!I104:I106)</f>
        <v>249.17333333333332</v>
      </c>
      <c r="J44" s="20">
        <f>AVERAGE('3. Raw Data'!J104:J106)</f>
        <v>0.77805160291870834</v>
      </c>
      <c r="K44" s="18">
        <f>AVERAGE('3. Raw Data'!K104:K106)</f>
        <v>94278.321031129264</v>
      </c>
      <c r="L44" s="18">
        <f>AVERAGE('3. Raw Data'!L104:L106)</f>
        <v>512</v>
      </c>
      <c r="M44" s="38">
        <f>AVERAGE('3. Raw Data'!P104:P106)</f>
        <v>55.696666666666665</v>
      </c>
      <c r="N44" s="20">
        <f>AVERAGE('3. Raw Data'!R104:R106)</f>
        <v>0.39058863468731903</v>
      </c>
      <c r="O44" s="20">
        <f>AVERAGE('3. Raw Data'!S104:S106)</f>
        <v>1.1686402376060299</v>
      </c>
      <c r="P44" s="18">
        <f>AVERAGE('3. Raw Data'!V104:V106)</f>
        <v>2891.6666666666665</v>
      </c>
      <c r="Q44" s="38">
        <f>E44-E10</f>
        <v>71.373333333333335</v>
      </c>
      <c r="R44" s="38">
        <f>(E44-E10)/E10*100</f>
        <v>61.930930757216409</v>
      </c>
      <c r="S44" s="46">
        <f>TTEST('3. Raw Data'!H104:H106,'3. Raw Data'!H2:H4,2,3)</f>
        <v>5.1834484020325811E-4</v>
      </c>
      <c r="T44" s="35" t="str">
        <f t="shared" si="3"/>
        <v>yes</v>
      </c>
      <c r="U44" s="12" t="str">
        <f t="shared" si="2"/>
        <v>Good</v>
      </c>
    </row>
    <row r="45" spans="1:21" x14ac:dyDescent="0.25">
      <c r="A45" s="41">
        <v>36</v>
      </c>
      <c r="B45" s="22" t="s">
        <v>259</v>
      </c>
      <c r="C45" s="42" t="s">
        <v>289</v>
      </c>
      <c r="D45" s="15">
        <v>3</v>
      </c>
      <c r="E45" s="43">
        <f>AVERAGE('3. Raw Data'!H107:H109)</f>
        <v>187.06666666666669</v>
      </c>
      <c r="F45" s="23">
        <f>STDEV('3. Raw Data'!H107:H109)</f>
        <v>0.44286943147312502</v>
      </c>
      <c r="G45" s="23">
        <f t="shared" si="0"/>
        <v>0.23674417220587579</v>
      </c>
      <c r="H45" s="23">
        <f t="shared" si="1"/>
        <v>1.1001486561038187</v>
      </c>
      <c r="I45" s="44">
        <f>AVERAGE('3. Raw Data'!I107:I109)</f>
        <v>249.11666666666665</v>
      </c>
      <c r="J45" s="26">
        <f>AVERAGE('3. Raw Data'!J107:J109)</f>
        <v>0.80620075075075093</v>
      </c>
      <c r="K45" s="24">
        <f>AVERAGE('3. Raw Data'!K107:K109)</f>
        <v>96771.725242457047</v>
      </c>
      <c r="L45" s="24">
        <f>AVERAGE('3. Raw Data'!L107:L109)</f>
        <v>699221.33333333337</v>
      </c>
      <c r="M45" s="44">
        <f>AVERAGE('3. Raw Data'!P107:P109)</f>
        <v>51.036666666666669</v>
      </c>
      <c r="N45" s="26">
        <f>AVERAGE('3. Raw Data'!R107:R109)</f>
        <v>0.45138258258258235</v>
      </c>
      <c r="O45" s="26">
        <f>AVERAGE('3. Raw Data'!S107:S109)</f>
        <v>1.2575833333333335</v>
      </c>
      <c r="P45" s="24">
        <f>AVERAGE('3. Raw Data'!V107:V109)</f>
        <v>2890.3333333333335</v>
      </c>
      <c r="Q45" s="44">
        <f>E45-E10</f>
        <v>71.820000000000022</v>
      </c>
      <c r="R45" s="44">
        <f>(E45-E10)/E10*100</f>
        <v>62.318505235147811</v>
      </c>
      <c r="S45" s="45">
        <f>TTEST('3. Raw Data'!H107:H109,'3. Raw Data'!H2:H4,2,3)</f>
        <v>5.2533675617080839E-6</v>
      </c>
      <c r="T45" s="41" t="str">
        <f t="shared" si="3"/>
        <v>yes</v>
      </c>
      <c r="U45" s="15" t="str">
        <f t="shared" si="2"/>
        <v>Excellent</v>
      </c>
    </row>
    <row r="46" spans="1:21" x14ac:dyDescent="0.25">
      <c r="A46" s="35">
        <v>37</v>
      </c>
      <c r="B46" s="16" t="s">
        <v>260</v>
      </c>
      <c r="C46" s="36" t="s">
        <v>289</v>
      </c>
      <c r="D46" s="12">
        <v>3</v>
      </c>
      <c r="E46" s="37">
        <f>AVERAGE('3. Raw Data'!H110:H112)</f>
        <v>191.58</v>
      </c>
      <c r="F46" s="17">
        <f>STDEV('3. Raw Data'!H110:H112)</f>
        <v>3.1783486278254682</v>
      </c>
      <c r="G46" s="17">
        <f t="shared" si="0"/>
        <v>1.6590190144198078</v>
      </c>
      <c r="H46" s="17">
        <f t="shared" si="1"/>
        <v>7.8954556874711637</v>
      </c>
      <c r="I46" s="38">
        <f>AVERAGE('3. Raw Data'!I110:I112)</f>
        <v>249.56333333333336</v>
      </c>
      <c r="J46" s="20">
        <f>AVERAGE('3. Raw Data'!J110:J112)</f>
        <v>0.78896126126126143</v>
      </c>
      <c r="K46" s="18">
        <f>AVERAGE('3. Raw Data'!K110:K112)</f>
        <v>95360.585879150298</v>
      </c>
      <c r="L46" s="18">
        <f>AVERAGE('3. Raw Data'!L110:L112)</f>
        <v>341.33333333333331</v>
      </c>
      <c r="M46" s="38">
        <f>AVERAGE('3. Raw Data'!P110:P112)</f>
        <v>53.486666666666672</v>
      </c>
      <c r="N46" s="20">
        <f>AVERAGE('3. Raw Data'!R110:R112)</f>
        <v>0.40656396396396399</v>
      </c>
      <c r="O46" s="20">
        <f>AVERAGE('3. Raw Data'!S110:S112)</f>
        <v>1.1955252252252266</v>
      </c>
      <c r="P46" s="18">
        <f>AVERAGE('3. Raw Data'!V110:V112)</f>
        <v>2888</v>
      </c>
      <c r="Q46" s="38">
        <f>E46-E10</f>
        <v>76.333333333333343</v>
      </c>
      <c r="R46" s="38">
        <f>(E46-E10)/E10*100</f>
        <v>66.234742870365011</v>
      </c>
      <c r="S46" s="46">
        <f>TTEST('3. Raw Data'!H110:H112,'3. Raw Data'!H2:H4,2,3)</f>
        <v>5.714677779229307E-4</v>
      </c>
      <c r="T46" s="35" t="str">
        <f t="shared" si="3"/>
        <v>yes</v>
      </c>
      <c r="U46" s="12" t="str">
        <f t="shared" si="2"/>
        <v>Good</v>
      </c>
    </row>
    <row r="47" spans="1:21" x14ac:dyDescent="0.25">
      <c r="A47" s="41">
        <v>38</v>
      </c>
      <c r="B47" s="22" t="s">
        <v>261</v>
      </c>
      <c r="C47" s="42" t="s">
        <v>289</v>
      </c>
      <c r="D47" s="15">
        <v>3</v>
      </c>
      <c r="E47" s="43">
        <f>AVERAGE('3. Raw Data'!H113:H115)</f>
        <v>194.65333333333334</v>
      </c>
      <c r="F47" s="23">
        <f>STDEV('3. Raw Data'!H113:H115)</f>
        <v>2.565800719723442</v>
      </c>
      <c r="G47" s="23">
        <f t="shared" si="0"/>
        <v>1.318138598392069</v>
      </c>
      <c r="H47" s="23">
        <f t="shared" si="1"/>
        <v>6.3738023287011432</v>
      </c>
      <c r="I47" s="44">
        <f>AVERAGE('3. Raw Data'!I113:I115)</f>
        <v>249.91666666666666</v>
      </c>
      <c r="J47" s="26">
        <f>AVERAGE('3. Raw Data'!J113:J115)</f>
        <v>0.85045277777777795</v>
      </c>
      <c r="K47" s="24">
        <f>AVERAGE('3. Raw Data'!K113:K115)</f>
        <v>102078.58905000133</v>
      </c>
      <c r="L47" s="24">
        <f>AVERAGE('3. Raw Data'!L113:L115)</f>
        <v>699392</v>
      </c>
      <c r="M47" s="44">
        <f>AVERAGE('3. Raw Data'!P113:P115)</f>
        <v>51.033333333333331</v>
      </c>
      <c r="N47" s="26">
        <f>AVERAGE('3. Raw Data'!R113:R115)</f>
        <v>0.45207314814814836</v>
      </c>
      <c r="O47" s="26">
        <f>AVERAGE('3. Raw Data'!S113:S115)</f>
        <v>1.3025259259259234</v>
      </c>
      <c r="P47" s="24">
        <f>AVERAGE('3. Raw Data'!V113:V115)</f>
        <v>2891.3333333333335</v>
      </c>
      <c r="Q47" s="44">
        <f>E47-E10</f>
        <v>79.406666666666666</v>
      </c>
      <c r="R47" s="44">
        <f>(E47-E10)/E10*100</f>
        <v>68.901486666281016</v>
      </c>
      <c r="S47" s="45">
        <f>TTEST('3. Raw Data'!H113:H115,'3. Raw Data'!H2:H4,2,3)</f>
        <v>3.4188965667611133E-4</v>
      </c>
      <c r="T47" s="41" t="str">
        <f t="shared" si="3"/>
        <v>yes</v>
      </c>
      <c r="U47" s="15" t="str">
        <f t="shared" si="2"/>
        <v>Good</v>
      </c>
    </row>
    <row r="48" spans="1:21" x14ac:dyDescent="0.25">
      <c r="A48" s="35">
        <v>39</v>
      </c>
      <c r="B48" s="16" t="s">
        <v>263</v>
      </c>
      <c r="C48" s="36" t="s">
        <v>289</v>
      </c>
      <c r="D48" s="12">
        <v>3</v>
      </c>
      <c r="E48" s="37">
        <f>AVERAGE('3. Raw Data'!H116:H118)</f>
        <v>195.92666666666665</v>
      </c>
      <c r="F48" s="17">
        <f>STDEV('3. Raw Data'!H116:H118)</f>
        <v>0.21594752448994345</v>
      </c>
      <c r="G48" s="17">
        <f t="shared" si="0"/>
        <v>0.11021854664497438</v>
      </c>
      <c r="H48" s="17">
        <f t="shared" si="1"/>
        <v>0.53644338934459668</v>
      </c>
      <c r="I48" s="38">
        <f>AVERAGE('3. Raw Data'!I116:I118)</f>
        <v>250.07000000000002</v>
      </c>
      <c r="J48" s="20">
        <f>AVERAGE('3. Raw Data'!J116:J118)</f>
        <v>0.8494657407407411</v>
      </c>
      <c r="K48" s="18">
        <f>AVERAGE('3. Raw Data'!K116:K118)</f>
        <v>101953.10922118335</v>
      </c>
      <c r="L48" s="18">
        <f>AVERAGE('3. Raw Data'!L116:L118)</f>
        <v>699392</v>
      </c>
      <c r="M48" s="38">
        <f>AVERAGE('3. Raw Data'!P116:P118)</f>
        <v>51.263333333333343</v>
      </c>
      <c r="N48" s="20">
        <f>AVERAGE('3. Raw Data'!R116:R118)</f>
        <v>0.44958518518518531</v>
      </c>
      <c r="O48" s="20">
        <f>AVERAGE('3. Raw Data'!S116:S118)</f>
        <v>1.2990509259259235</v>
      </c>
      <c r="P48" s="18">
        <f>AVERAGE('3. Raw Data'!V116:V118)</f>
        <v>2888.6666666666665</v>
      </c>
      <c r="Q48" s="38">
        <f>E48-E10</f>
        <v>80.679999999999978</v>
      </c>
      <c r="R48" s="38">
        <f>(E48-E10)/E10*100</f>
        <v>70.006363163070489</v>
      </c>
      <c r="S48" s="46">
        <f>TTEST('3. Raw Data'!H116:H118,'3. Raw Data'!H2:H4,2,3)</f>
        <v>3.9468257293375293E-8</v>
      </c>
      <c r="T48" s="35" t="str">
        <f t="shared" si="3"/>
        <v>yes</v>
      </c>
      <c r="U48" s="12" t="str">
        <f t="shared" si="2"/>
        <v>Excellent</v>
      </c>
    </row>
    <row r="50" spans="2:12" ht="15" customHeight="1" x14ac:dyDescent="0.25">
      <c r="B50" s="76" t="s">
        <v>292</v>
      </c>
      <c r="C50" s="76"/>
      <c r="D50" s="76"/>
      <c r="E50" s="76"/>
      <c r="F50" s="76"/>
      <c r="G50" s="76"/>
      <c r="H50" s="76"/>
      <c r="I50" s="76"/>
      <c r="J50" s="76"/>
      <c r="K50" s="76"/>
      <c r="L50" s="76"/>
    </row>
    <row r="51" spans="2:12" ht="15" customHeight="1" x14ac:dyDescent="0.25">
      <c r="B51" s="76" t="s">
        <v>293</v>
      </c>
      <c r="C51" s="76"/>
      <c r="D51" s="76"/>
      <c r="E51" s="76"/>
      <c r="F51" s="76"/>
      <c r="G51" s="76"/>
      <c r="H51" s="76"/>
      <c r="I51" s="76"/>
      <c r="J51" s="76"/>
      <c r="K51" s="76"/>
      <c r="L51" s="76"/>
    </row>
    <row r="52" spans="2:12" ht="15" customHeight="1" x14ac:dyDescent="0.25">
      <c r="B52" s="76" t="s">
        <v>294</v>
      </c>
      <c r="C52" s="76"/>
      <c r="D52" s="76"/>
      <c r="E52" s="76"/>
      <c r="F52" s="76"/>
      <c r="G52" s="76"/>
      <c r="H52" s="76"/>
      <c r="I52" s="76"/>
      <c r="J52" s="76"/>
      <c r="K52" s="76"/>
      <c r="L52" s="76"/>
    </row>
    <row r="53" spans="2:12" ht="15" customHeight="1" x14ac:dyDescent="0.25">
      <c r="B53" s="76" t="s">
        <v>295</v>
      </c>
      <c r="C53" s="76"/>
      <c r="D53" s="76"/>
      <c r="E53" s="76"/>
      <c r="F53" s="76"/>
      <c r="G53" s="76"/>
      <c r="H53" s="76"/>
      <c r="I53" s="76"/>
      <c r="J53" s="76"/>
      <c r="K53" s="76"/>
      <c r="L53" s="76"/>
    </row>
    <row r="54" spans="2:12" ht="15" customHeight="1" x14ac:dyDescent="0.25">
      <c r="B54" s="76" t="s">
        <v>296</v>
      </c>
      <c r="C54" s="76"/>
      <c r="D54" s="76"/>
      <c r="E54" s="76"/>
      <c r="F54" s="76"/>
      <c r="G54" s="76"/>
      <c r="H54" s="76"/>
      <c r="I54" s="76"/>
      <c r="J54" s="76"/>
      <c r="K54" s="76"/>
      <c r="L54" s="76"/>
    </row>
    <row r="55" spans="2:12" ht="15" customHeight="1" x14ac:dyDescent="0.25">
      <c r="B55" s="76" t="s">
        <v>297</v>
      </c>
      <c r="C55" s="76"/>
      <c r="D55" s="76"/>
      <c r="E55" s="76"/>
      <c r="F55" s="76"/>
      <c r="G55" s="76"/>
      <c r="H55" s="76"/>
      <c r="I55" s="76"/>
      <c r="J55" s="76"/>
      <c r="K55" s="76"/>
      <c r="L55" s="76"/>
    </row>
    <row r="56" spans="2:12" ht="15" customHeight="1" x14ac:dyDescent="0.25">
      <c r="B56" s="76" t="s">
        <v>298</v>
      </c>
      <c r="C56" s="76"/>
      <c r="D56" s="76"/>
      <c r="E56" s="76"/>
      <c r="F56" s="76"/>
      <c r="G56" s="76"/>
      <c r="H56" s="76"/>
      <c r="I56" s="76"/>
      <c r="J56" s="76"/>
      <c r="K56" s="76"/>
      <c r="L56" s="76"/>
    </row>
    <row r="57" spans="2:12" ht="15" customHeight="1" x14ac:dyDescent="0.25">
      <c r="B57" s="76" t="s">
        <v>299</v>
      </c>
      <c r="C57" s="76"/>
      <c r="D57" s="76"/>
      <c r="E57" s="76"/>
      <c r="F57" s="76"/>
      <c r="G57" s="76"/>
      <c r="H57" s="76"/>
      <c r="I57" s="76"/>
      <c r="J57" s="76"/>
      <c r="K57" s="76"/>
      <c r="L57" s="76"/>
    </row>
    <row r="58" spans="2:12" ht="15" customHeight="1" x14ac:dyDescent="0.25">
      <c r="B58" s="76" t="s">
        <v>300</v>
      </c>
      <c r="C58" s="76"/>
      <c r="D58" s="76"/>
      <c r="E58" s="76"/>
      <c r="F58" s="76"/>
      <c r="G58" s="76"/>
      <c r="H58" s="76"/>
      <c r="I58" s="76"/>
      <c r="J58" s="76"/>
      <c r="K58" s="76"/>
      <c r="L58" s="76"/>
    </row>
  </sheetData>
  <mergeCells count="19">
    <mergeCell ref="B5:D5"/>
    <mergeCell ref="E5:G5"/>
    <mergeCell ref="H5:J5"/>
    <mergeCell ref="K5:M5"/>
    <mergeCell ref="N5:P5"/>
    <mergeCell ref="B6:D6"/>
    <mergeCell ref="E6:G6"/>
    <mergeCell ref="H6:J6"/>
    <mergeCell ref="K6:M6"/>
    <mergeCell ref="N6:P6"/>
    <mergeCell ref="B55:L55"/>
    <mergeCell ref="B56:L56"/>
    <mergeCell ref="B57:L57"/>
    <mergeCell ref="B58:L58"/>
    <mergeCell ref="B50:L50"/>
    <mergeCell ref="B51:L51"/>
    <mergeCell ref="B52:L52"/>
    <mergeCell ref="B53:L53"/>
    <mergeCell ref="B54:L5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I375"/>
  <sheetViews>
    <sheetView showGridLines="0" zoomScaleNormal="100" workbookViewId="0">
      <selection activeCell="U11" sqref="U11"/>
    </sheetView>
  </sheetViews>
  <sheetFormatPr defaultColWidth="8.7109375" defaultRowHeight="15" x14ac:dyDescent="0.25"/>
  <cols>
    <col min="1" max="1" width="2" customWidth="1"/>
    <col min="16" max="16" width="13.42578125" customWidth="1"/>
  </cols>
  <sheetData>
    <row r="2" spans="2:35" ht="19.5" x14ac:dyDescent="0.3">
      <c r="B2" s="64" t="s">
        <v>301</v>
      </c>
    </row>
    <row r="3" spans="2:35" x14ac:dyDescent="0.25">
      <c r="B3" s="1" t="s">
        <v>302</v>
      </c>
    </row>
    <row r="5" spans="2:35" ht="15.75" x14ac:dyDescent="0.25">
      <c r="B5" s="86" t="s">
        <v>303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</row>
    <row r="6" spans="2:35" ht="30" customHeight="1" x14ac:dyDescent="0.25">
      <c r="B6" s="85" t="s">
        <v>304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</row>
    <row r="7" spans="2:35" x14ac:dyDescent="0.25">
      <c r="AB7" s="53" t="s">
        <v>305</v>
      </c>
      <c r="AE7" s="53" t="s">
        <v>306</v>
      </c>
    </row>
    <row r="8" spans="2:35" x14ac:dyDescent="0.25">
      <c r="AB8" s="54" t="s">
        <v>307</v>
      </c>
      <c r="AE8" s="55" t="s">
        <v>308</v>
      </c>
      <c r="AF8" s="55" t="s">
        <v>307</v>
      </c>
      <c r="AG8" s="55" t="s">
        <v>225</v>
      </c>
      <c r="AH8" s="55" t="s">
        <v>231</v>
      </c>
      <c r="AI8" s="55" t="s">
        <v>263</v>
      </c>
    </row>
    <row r="9" spans="2:35" x14ac:dyDescent="0.25">
      <c r="AB9" s="54" t="s">
        <v>222</v>
      </c>
      <c r="AE9" s="54">
        <v>1</v>
      </c>
      <c r="AF9" s="54">
        <v>1.488</v>
      </c>
      <c r="AG9" s="54">
        <v>0.83799999999999997</v>
      </c>
      <c r="AH9" s="54">
        <v>0.87</v>
      </c>
      <c r="AI9" s="54">
        <v>0.80300000000000005</v>
      </c>
    </row>
    <row r="10" spans="2:35" x14ac:dyDescent="0.25">
      <c r="AB10" s="54" t="s">
        <v>223</v>
      </c>
      <c r="AE10" s="54">
        <v>2</v>
      </c>
      <c r="AF10" s="54">
        <v>1.5009999999999999</v>
      </c>
      <c r="AG10" s="54">
        <v>0.879</v>
      </c>
      <c r="AH10" s="54">
        <v>0.88500000000000001</v>
      </c>
      <c r="AI10" s="54">
        <v>0.84399999999999997</v>
      </c>
    </row>
    <row r="11" spans="2:35" x14ac:dyDescent="0.25">
      <c r="AB11" s="54" t="s">
        <v>225</v>
      </c>
      <c r="AE11" s="54">
        <v>3</v>
      </c>
      <c r="AF11" s="54">
        <v>1.502</v>
      </c>
      <c r="AG11" s="54">
        <v>0.88600000000000001</v>
      </c>
      <c r="AH11" s="54">
        <v>0.89400000000000002</v>
      </c>
      <c r="AI11" s="54">
        <v>0.85299999999999998</v>
      </c>
    </row>
    <row r="12" spans="2:35" x14ac:dyDescent="0.25">
      <c r="AB12" s="54" t="s">
        <v>226</v>
      </c>
      <c r="AE12" s="54">
        <v>4</v>
      </c>
      <c r="AF12" s="54">
        <v>1.486</v>
      </c>
      <c r="AG12" s="54">
        <v>0.88400000000000001</v>
      </c>
      <c r="AH12" s="54">
        <v>0.89600000000000002</v>
      </c>
      <c r="AI12" s="54">
        <v>0.84399999999999997</v>
      </c>
    </row>
    <row r="13" spans="2:35" x14ac:dyDescent="0.25">
      <c r="AB13" s="54" t="s">
        <v>227</v>
      </c>
      <c r="AE13" s="54">
        <v>5</v>
      </c>
      <c r="AF13" s="54">
        <v>1.48</v>
      </c>
      <c r="AG13" s="54">
        <v>0.876</v>
      </c>
      <c r="AH13" s="54">
        <v>0.88</v>
      </c>
      <c r="AI13" s="54">
        <v>0.85399999999999998</v>
      </c>
    </row>
    <row r="14" spans="2:35" x14ac:dyDescent="0.25">
      <c r="AB14" s="54" t="s">
        <v>228</v>
      </c>
      <c r="AE14" s="54">
        <v>6</v>
      </c>
      <c r="AF14" s="54">
        <v>1.4950000000000001</v>
      </c>
      <c r="AG14" s="54">
        <v>0.89500000000000002</v>
      </c>
      <c r="AH14" s="54">
        <v>0.89800000000000002</v>
      </c>
      <c r="AI14" s="54">
        <v>0.93300000000000005</v>
      </c>
    </row>
    <row r="15" spans="2:35" x14ac:dyDescent="0.25">
      <c r="AB15" s="54" t="s">
        <v>229</v>
      </c>
      <c r="AE15" s="54">
        <v>7</v>
      </c>
      <c r="AF15" s="54">
        <v>1.5149999999999999</v>
      </c>
      <c r="AG15" s="54">
        <v>0.89300000000000002</v>
      </c>
      <c r="AH15" s="54">
        <v>0.90400000000000003</v>
      </c>
      <c r="AI15" s="54">
        <v>0.83699999999999997</v>
      </c>
    </row>
    <row r="16" spans="2:35" x14ac:dyDescent="0.25">
      <c r="AB16" s="54" t="s">
        <v>309</v>
      </c>
      <c r="AE16" s="54">
        <v>8</v>
      </c>
      <c r="AF16" s="54">
        <v>1.488</v>
      </c>
      <c r="AG16" s="54">
        <v>0.88</v>
      </c>
      <c r="AH16" s="54">
        <v>0.58599999999999997</v>
      </c>
      <c r="AI16" s="54">
        <v>0.86</v>
      </c>
    </row>
    <row r="17" spans="28:35" x14ac:dyDescent="0.25">
      <c r="AB17" s="54" t="s">
        <v>231</v>
      </c>
      <c r="AE17" s="54">
        <v>9</v>
      </c>
      <c r="AF17" s="54">
        <v>1.48</v>
      </c>
      <c r="AG17" s="54">
        <v>0.874</v>
      </c>
      <c r="AH17" s="54">
        <v>0.88600000000000001</v>
      </c>
      <c r="AI17" s="54">
        <v>0.84</v>
      </c>
    </row>
    <row r="18" spans="28:35" x14ac:dyDescent="0.25">
      <c r="AB18" s="54" t="s">
        <v>232</v>
      </c>
      <c r="AE18" s="54">
        <v>10</v>
      </c>
      <c r="AF18" s="54">
        <v>1.5029999999999999</v>
      </c>
      <c r="AG18" s="54">
        <v>0.83799999999999997</v>
      </c>
      <c r="AH18" s="54">
        <v>0.90300000000000002</v>
      </c>
      <c r="AI18" s="54">
        <v>0.86399999999999999</v>
      </c>
    </row>
    <row r="19" spans="28:35" x14ac:dyDescent="0.25">
      <c r="AB19" s="54" t="s">
        <v>233</v>
      </c>
      <c r="AE19" s="54">
        <v>11</v>
      </c>
      <c r="AF19" s="54">
        <v>1.4830000000000001</v>
      </c>
      <c r="AG19" s="54">
        <v>0.83199999999999996</v>
      </c>
      <c r="AH19" s="54">
        <v>0.89300000000000002</v>
      </c>
      <c r="AI19" s="54">
        <v>0.874</v>
      </c>
    </row>
    <row r="20" spans="28:35" x14ac:dyDescent="0.25">
      <c r="AB20" s="54" t="s">
        <v>234</v>
      </c>
      <c r="AE20" s="54">
        <v>12</v>
      </c>
      <c r="AF20" s="54">
        <v>1.4950000000000001</v>
      </c>
      <c r="AG20" s="54">
        <v>0.82299999999999995</v>
      </c>
      <c r="AH20" s="54">
        <v>0.89400000000000002</v>
      </c>
      <c r="AI20" s="54">
        <v>0.875</v>
      </c>
    </row>
    <row r="21" spans="28:35" x14ac:dyDescent="0.25">
      <c r="AB21" s="54" t="s">
        <v>235</v>
      </c>
      <c r="AE21" s="54">
        <v>13</v>
      </c>
      <c r="AF21" s="54">
        <v>1.4830000000000001</v>
      </c>
      <c r="AG21" s="54">
        <v>0.83</v>
      </c>
      <c r="AH21" s="54">
        <v>0.89100000000000001</v>
      </c>
      <c r="AI21" s="54">
        <v>0.84599999999999997</v>
      </c>
    </row>
    <row r="22" spans="28:35" x14ac:dyDescent="0.25">
      <c r="AB22" s="54" t="s">
        <v>236</v>
      </c>
      <c r="AE22" s="54">
        <v>14</v>
      </c>
      <c r="AF22" s="54">
        <v>1.502</v>
      </c>
      <c r="AG22" s="54">
        <v>0.83199999999999996</v>
      </c>
      <c r="AH22" s="54">
        <v>0.89100000000000001</v>
      </c>
      <c r="AI22" s="54">
        <v>0.85499999999999998</v>
      </c>
    </row>
    <row r="23" spans="28:35" x14ac:dyDescent="0.25">
      <c r="AB23" s="54" t="s">
        <v>237</v>
      </c>
      <c r="AE23" s="54">
        <v>15</v>
      </c>
      <c r="AF23" s="54">
        <v>1.482</v>
      </c>
      <c r="AG23" s="54">
        <v>0.82899999999999996</v>
      </c>
      <c r="AH23" s="54">
        <v>0.90400000000000003</v>
      </c>
      <c r="AI23" s="54">
        <v>0.84299999999999997</v>
      </c>
    </row>
    <row r="24" spans="28:35" x14ac:dyDescent="0.25">
      <c r="AB24" s="54" t="s">
        <v>310</v>
      </c>
      <c r="AE24" s="54">
        <v>16</v>
      </c>
      <c r="AF24" s="54">
        <v>1.484</v>
      </c>
      <c r="AG24" s="54">
        <v>0.82199999999999995</v>
      </c>
      <c r="AH24" s="54">
        <v>0.89100000000000001</v>
      </c>
      <c r="AI24" s="54">
        <v>0.85199999999999998</v>
      </c>
    </row>
    <row r="25" spans="28:35" x14ac:dyDescent="0.25">
      <c r="AB25" s="54" t="s">
        <v>311</v>
      </c>
      <c r="AE25" s="54">
        <v>17</v>
      </c>
      <c r="AF25" s="54">
        <v>1.488</v>
      </c>
      <c r="AG25" s="54">
        <v>0.82699999999999996</v>
      </c>
      <c r="AH25" s="54">
        <v>0.88300000000000001</v>
      </c>
      <c r="AI25" s="54">
        <v>0.83699999999999997</v>
      </c>
    </row>
    <row r="26" spans="28:35" x14ac:dyDescent="0.25">
      <c r="AB26" s="54" t="s">
        <v>312</v>
      </c>
      <c r="AE26" s="54">
        <v>18</v>
      </c>
      <c r="AF26" s="54">
        <v>1.502</v>
      </c>
      <c r="AG26" s="54">
        <v>0.82799999999999996</v>
      </c>
      <c r="AH26" s="54">
        <v>0.89800000000000002</v>
      </c>
      <c r="AI26" s="54">
        <v>0.84899999999999998</v>
      </c>
    </row>
    <row r="27" spans="28:35" x14ac:dyDescent="0.25">
      <c r="AB27" s="54" t="s">
        <v>242</v>
      </c>
      <c r="AE27" s="54">
        <v>19</v>
      </c>
      <c r="AF27" s="54">
        <v>1.4950000000000001</v>
      </c>
      <c r="AG27" s="54">
        <v>0.83</v>
      </c>
      <c r="AH27" s="54">
        <v>0.88500000000000001</v>
      </c>
      <c r="AI27" s="54">
        <v>0.86399999999999999</v>
      </c>
    </row>
    <row r="28" spans="28:35" x14ac:dyDescent="0.25">
      <c r="AB28" s="54" t="s">
        <v>244</v>
      </c>
      <c r="AE28" s="54">
        <v>20</v>
      </c>
      <c r="AF28" s="54">
        <v>1.5009999999999999</v>
      </c>
      <c r="AG28" s="54">
        <v>0.83399999999999996</v>
      </c>
      <c r="AH28" s="54">
        <v>0.89900000000000002</v>
      </c>
      <c r="AI28" s="54">
        <v>0.85899999999999999</v>
      </c>
    </row>
    <row r="29" spans="28:35" x14ac:dyDescent="0.25">
      <c r="AB29" s="54" t="s">
        <v>245</v>
      </c>
      <c r="AE29" s="54">
        <v>21</v>
      </c>
      <c r="AF29" s="54">
        <v>1.5</v>
      </c>
      <c r="AG29" s="54">
        <v>0.83599999999999997</v>
      </c>
      <c r="AH29" s="54">
        <v>0.89400000000000002</v>
      </c>
      <c r="AI29" s="54">
        <v>0.85099999999999998</v>
      </c>
    </row>
    <row r="30" spans="28:35" x14ac:dyDescent="0.25">
      <c r="AB30" s="54" t="s">
        <v>246</v>
      </c>
      <c r="AE30" s="54">
        <v>22</v>
      </c>
      <c r="AF30" s="54">
        <v>1.51</v>
      </c>
      <c r="AG30" s="54">
        <v>0.82899999999999996</v>
      </c>
      <c r="AH30" s="54">
        <v>0.89700000000000002</v>
      </c>
      <c r="AI30" s="54">
        <v>0.85299999999999998</v>
      </c>
    </row>
    <row r="31" spans="28:35" x14ac:dyDescent="0.25">
      <c r="AB31" s="54" t="s">
        <v>247</v>
      </c>
      <c r="AE31" s="54">
        <v>23</v>
      </c>
      <c r="AF31" s="54">
        <v>1.5149999999999999</v>
      </c>
      <c r="AG31" s="54">
        <v>0.84</v>
      </c>
      <c r="AH31" s="54">
        <v>0.89300000000000002</v>
      </c>
      <c r="AI31" s="54">
        <v>0.84</v>
      </c>
    </row>
    <row r="32" spans="28:35" x14ac:dyDescent="0.25">
      <c r="AB32" s="54" t="s">
        <v>313</v>
      </c>
      <c r="AE32" s="54">
        <v>24</v>
      </c>
      <c r="AF32" s="54">
        <v>1.4770000000000001</v>
      </c>
      <c r="AG32" s="54">
        <v>0.84199999999999997</v>
      </c>
      <c r="AH32" s="54">
        <v>0.89</v>
      </c>
      <c r="AI32" s="54">
        <v>0.84699999999999998</v>
      </c>
    </row>
    <row r="33" spans="28:35" x14ac:dyDescent="0.25">
      <c r="AB33" s="54" t="s">
        <v>249</v>
      </c>
      <c r="AE33" s="54">
        <v>25</v>
      </c>
      <c r="AF33" s="54">
        <v>1.474</v>
      </c>
      <c r="AG33" s="54">
        <v>0.88900000000000001</v>
      </c>
      <c r="AH33" s="54">
        <v>0.86799999999999999</v>
      </c>
      <c r="AI33" s="54">
        <v>0.84</v>
      </c>
    </row>
    <row r="34" spans="28:35" x14ac:dyDescent="0.25">
      <c r="AB34" s="54" t="s">
        <v>250</v>
      </c>
      <c r="AE34" s="54">
        <v>26</v>
      </c>
      <c r="AF34" s="54">
        <v>1.502</v>
      </c>
      <c r="AG34" s="54">
        <v>0.86</v>
      </c>
      <c r="AH34" s="54">
        <v>0.90700000000000003</v>
      </c>
      <c r="AI34" s="54">
        <v>0.85599999999999998</v>
      </c>
    </row>
    <row r="35" spans="28:35" x14ac:dyDescent="0.25">
      <c r="AB35" s="54" t="s">
        <v>251</v>
      </c>
      <c r="AE35" s="54">
        <v>27</v>
      </c>
      <c r="AF35" s="54">
        <v>1.504</v>
      </c>
      <c r="AG35" s="54">
        <v>0.85699999999999998</v>
      </c>
      <c r="AH35" s="54">
        <v>0.89500000000000002</v>
      </c>
      <c r="AI35" s="54">
        <v>0.85699999999999998</v>
      </c>
    </row>
    <row r="36" spans="28:35" x14ac:dyDescent="0.25">
      <c r="AB36" s="54" t="s">
        <v>252</v>
      </c>
      <c r="AE36" s="54">
        <v>28</v>
      </c>
      <c r="AF36" s="54">
        <v>1.5029999999999999</v>
      </c>
      <c r="AG36" s="54">
        <v>0.84699999999999998</v>
      </c>
      <c r="AH36" s="54">
        <v>0.90100000000000002</v>
      </c>
      <c r="AI36" s="54">
        <v>0.86199999999999999</v>
      </c>
    </row>
    <row r="37" spans="28:35" x14ac:dyDescent="0.25">
      <c r="AB37" s="54" t="s">
        <v>253</v>
      </c>
      <c r="AE37" s="54">
        <v>29</v>
      </c>
      <c r="AF37" s="54">
        <v>1.466</v>
      </c>
      <c r="AG37" s="54">
        <v>0.84099999999999997</v>
      </c>
      <c r="AH37" s="54">
        <v>0.89400000000000002</v>
      </c>
      <c r="AI37" s="54">
        <v>0.85299999999999998</v>
      </c>
    </row>
    <row r="38" spans="28:35" x14ac:dyDescent="0.25">
      <c r="AB38" s="54" t="s">
        <v>254</v>
      </c>
      <c r="AE38" s="54">
        <v>30</v>
      </c>
      <c r="AF38" s="54">
        <v>1.496</v>
      </c>
      <c r="AG38" s="54">
        <v>0.83599999999999997</v>
      </c>
      <c r="AH38" s="54">
        <v>0.91100000000000003</v>
      </c>
      <c r="AI38" s="54">
        <v>0.84099999999999997</v>
      </c>
    </row>
    <row r="39" spans="28:35" x14ac:dyDescent="0.25">
      <c r="AB39" s="54" t="s">
        <v>255</v>
      </c>
      <c r="AE39" s="54">
        <v>31</v>
      </c>
      <c r="AF39" s="54">
        <v>1.5049999999999999</v>
      </c>
      <c r="AG39" s="54">
        <v>0.84399999999999997</v>
      </c>
      <c r="AH39" s="54">
        <v>0.91900000000000004</v>
      </c>
      <c r="AI39" s="54">
        <v>0.82599999999999996</v>
      </c>
    </row>
    <row r="40" spans="28:35" x14ac:dyDescent="0.25">
      <c r="AB40" s="54" t="s">
        <v>256</v>
      </c>
      <c r="AE40" s="54">
        <v>32</v>
      </c>
      <c r="AF40" s="54">
        <v>1.4950000000000001</v>
      </c>
      <c r="AG40" s="54">
        <v>0.82799999999999996</v>
      </c>
      <c r="AH40" s="54">
        <v>0.89100000000000001</v>
      </c>
      <c r="AI40" s="54">
        <v>0.85099999999999998</v>
      </c>
    </row>
    <row r="41" spans="28:35" x14ac:dyDescent="0.25">
      <c r="AB41" s="54" t="s">
        <v>257</v>
      </c>
      <c r="AE41" s="54">
        <v>33</v>
      </c>
      <c r="AF41" s="54">
        <v>1.5</v>
      </c>
      <c r="AG41" s="54">
        <v>0.83499999999999996</v>
      </c>
      <c r="AH41" s="54">
        <v>0.9</v>
      </c>
      <c r="AI41" s="54">
        <v>0.85499999999999998</v>
      </c>
    </row>
    <row r="42" spans="28:35" x14ac:dyDescent="0.25">
      <c r="AB42" s="54" t="s">
        <v>314</v>
      </c>
      <c r="AE42" s="54">
        <v>34</v>
      </c>
      <c r="AF42" s="54">
        <v>1.5109999999999999</v>
      </c>
      <c r="AG42" s="54">
        <v>0.84199999999999997</v>
      </c>
      <c r="AH42" s="54">
        <v>0.88200000000000001</v>
      </c>
      <c r="AI42" s="54">
        <v>0.84599999999999997</v>
      </c>
    </row>
    <row r="43" spans="28:35" x14ac:dyDescent="0.25">
      <c r="AB43" s="54" t="s">
        <v>315</v>
      </c>
      <c r="AE43" s="54">
        <v>35</v>
      </c>
      <c r="AF43" s="54">
        <v>1.4930000000000001</v>
      </c>
      <c r="AG43" s="54">
        <v>0.83599999999999997</v>
      </c>
      <c r="AH43" s="54">
        <v>0.86499999999999999</v>
      </c>
      <c r="AI43" s="54">
        <v>0.85</v>
      </c>
    </row>
    <row r="44" spans="28:35" x14ac:dyDescent="0.25">
      <c r="AB44" s="54" t="s">
        <v>260</v>
      </c>
      <c r="AE44" s="54">
        <v>36</v>
      </c>
      <c r="AF44" s="54">
        <v>1.5229999999999999</v>
      </c>
      <c r="AG44" s="54">
        <v>0.82499999999999996</v>
      </c>
      <c r="AH44" s="54">
        <v>0.90500000000000003</v>
      </c>
      <c r="AI44" s="54">
        <v>0.84699999999999998</v>
      </c>
    </row>
    <row r="45" spans="28:35" x14ac:dyDescent="0.25">
      <c r="AB45" s="54" t="s">
        <v>316</v>
      </c>
      <c r="AE45" s="54">
        <v>37</v>
      </c>
      <c r="AF45" s="54">
        <v>1.486</v>
      </c>
      <c r="AG45" s="54">
        <v>0.83399999999999996</v>
      </c>
      <c r="AH45" s="54">
        <v>0.89</v>
      </c>
      <c r="AI45" s="54">
        <v>0.82299999999999995</v>
      </c>
    </row>
    <row r="46" spans="28:35" x14ac:dyDescent="0.25">
      <c r="AB46" s="54" t="s">
        <v>263</v>
      </c>
      <c r="AE46" s="54">
        <v>38</v>
      </c>
      <c r="AF46" s="54">
        <v>1.502</v>
      </c>
      <c r="AG46" s="54">
        <v>0.82099999999999995</v>
      </c>
      <c r="AH46" s="54">
        <v>0.88500000000000001</v>
      </c>
      <c r="AI46" s="54">
        <v>0.83099999999999996</v>
      </c>
    </row>
    <row r="47" spans="28:35" x14ac:dyDescent="0.25">
      <c r="AE47" s="54">
        <v>39</v>
      </c>
      <c r="AF47" s="54">
        <v>1.51</v>
      </c>
      <c r="AG47" s="54">
        <v>0.84</v>
      </c>
      <c r="AH47" s="54">
        <v>0.89</v>
      </c>
      <c r="AI47" s="54">
        <v>0.84099999999999997</v>
      </c>
    </row>
    <row r="48" spans="28:35" x14ac:dyDescent="0.25">
      <c r="AE48" s="54">
        <v>40</v>
      </c>
      <c r="AF48" s="54">
        <v>1.516</v>
      </c>
      <c r="AG48" s="54">
        <v>0.83099999999999996</v>
      </c>
      <c r="AH48" s="54">
        <v>0.89400000000000002</v>
      </c>
      <c r="AI48" s="54">
        <v>0.85</v>
      </c>
    </row>
    <row r="80" spans="2:14" ht="15.75" x14ac:dyDescent="0.25">
      <c r="B80" s="86" t="s">
        <v>317</v>
      </c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</row>
    <row r="81" spans="2:14" ht="30" customHeight="1" x14ac:dyDescent="0.25">
      <c r="B81" s="85" t="s">
        <v>318</v>
      </c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</row>
    <row r="149" spans="1:13" ht="15.75" x14ac:dyDescent="0.25">
      <c r="A149" s="86" t="s">
        <v>319</v>
      </c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</row>
    <row r="150" spans="1:13" x14ac:dyDescent="0.25">
      <c r="A150" s="85" t="s">
        <v>320</v>
      </c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</row>
    <row r="218" spans="1:13" ht="15.75" x14ac:dyDescent="0.25">
      <c r="A218" s="86" t="s">
        <v>321</v>
      </c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</row>
    <row r="219" spans="1:13" x14ac:dyDescent="0.25">
      <c r="A219" s="85" t="s">
        <v>322</v>
      </c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</row>
    <row r="228" ht="30" customHeight="1" x14ac:dyDescent="0.25"/>
    <row r="375" ht="30" customHeight="1" x14ac:dyDescent="0.25"/>
  </sheetData>
  <mergeCells count="8">
    <mergeCell ref="A150:M150"/>
    <mergeCell ref="A218:M218"/>
    <mergeCell ref="A219:M219"/>
    <mergeCell ref="B5:N5"/>
    <mergeCell ref="B6:N6"/>
    <mergeCell ref="B80:N80"/>
    <mergeCell ref="B81:N81"/>
    <mergeCell ref="A149:M14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L52"/>
  <sheetViews>
    <sheetView showGridLine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E4" sqref="E4:L4"/>
    </sheetView>
  </sheetViews>
  <sheetFormatPr defaultColWidth="8.7109375" defaultRowHeight="15" x14ac:dyDescent="0.25"/>
  <cols>
    <col min="1" max="1" width="5" customWidth="1"/>
    <col min="2" max="2" width="68.42578125" customWidth="1"/>
    <col min="3" max="3" width="11" customWidth="1"/>
    <col min="4" max="6" width="9" customWidth="1"/>
    <col min="7" max="7" width="22.28515625" customWidth="1"/>
    <col min="8" max="8" width="11" customWidth="1"/>
    <col min="9" max="9" width="12.42578125" customWidth="1"/>
    <col min="10" max="10" width="34" customWidth="1"/>
    <col min="11" max="11" width="12" customWidth="1"/>
    <col min="12" max="12" width="52" customWidth="1"/>
  </cols>
  <sheetData>
    <row r="2" spans="1:12" ht="19.5" x14ac:dyDescent="0.3">
      <c r="B2" s="73" t="s">
        <v>323</v>
      </c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2" ht="45.75" customHeight="1" x14ac:dyDescent="0.25">
      <c r="B3" s="90" t="s">
        <v>324</v>
      </c>
      <c r="C3" s="90"/>
      <c r="D3" s="90"/>
      <c r="E3" s="91" t="s">
        <v>325</v>
      </c>
      <c r="F3" s="91"/>
      <c r="G3" s="91"/>
      <c r="H3" s="91"/>
      <c r="I3" s="91"/>
      <c r="J3" s="91"/>
      <c r="K3" s="91"/>
      <c r="L3" s="91"/>
    </row>
    <row r="4" spans="1:12" ht="45.75" customHeight="1" x14ac:dyDescent="0.25">
      <c r="B4" s="90" t="s">
        <v>326</v>
      </c>
      <c r="C4" s="90"/>
      <c r="D4" s="90"/>
      <c r="E4" s="91" t="s">
        <v>327</v>
      </c>
      <c r="F4" s="91"/>
      <c r="G4" s="91"/>
      <c r="H4" s="91"/>
      <c r="I4" s="91"/>
      <c r="J4" s="91"/>
      <c r="K4" s="91"/>
      <c r="L4" s="91"/>
    </row>
    <row r="5" spans="1:12" ht="45.75" customHeight="1" x14ac:dyDescent="0.25">
      <c r="B5" s="90" t="s">
        <v>328</v>
      </c>
      <c r="C5" s="90"/>
      <c r="D5" s="90"/>
      <c r="E5" s="91" t="s">
        <v>329</v>
      </c>
      <c r="F5" s="91"/>
      <c r="G5" s="91"/>
      <c r="H5" s="91"/>
      <c r="I5" s="91"/>
      <c r="J5" s="91"/>
      <c r="K5" s="91"/>
      <c r="L5" s="91"/>
    </row>
    <row r="6" spans="1:12" ht="45.75" customHeight="1" x14ac:dyDescent="0.25">
      <c r="B6" s="90" t="s">
        <v>330</v>
      </c>
      <c r="C6" s="90"/>
      <c r="D6" s="90"/>
      <c r="E6" s="91" t="s">
        <v>331</v>
      </c>
      <c r="F6" s="91"/>
      <c r="G6" s="91"/>
      <c r="H6" s="91"/>
      <c r="I6" s="91"/>
      <c r="J6" s="91"/>
      <c r="K6" s="91"/>
      <c r="L6" s="91"/>
    </row>
    <row r="7" spans="1:12" ht="45.75" customHeight="1" x14ac:dyDescent="0.25">
      <c r="B7" s="90" t="s">
        <v>332</v>
      </c>
      <c r="C7" s="90"/>
      <c r="D7" s="90"/>
      <c r="E7" s="91" t="s">
        <v>333</v>
      </c>
      <c r="F7" s="91"/>
      <c r="G7" s="91"/>
      <c r="H7" s="91"/>
      <c r="I7" s="91"/>
      <c r="J7" s="91"/>
      <c r="K7" s="91"/>
      <c r="L7" s="91"/>
    </row>
    <row r="8" spans="1:12" ht="45.75" customHeight="1" x14ac:dyDescent="0.25">
      <c r="B8" s="87" t="s">
        <v>334</v>
      </c>
      <c r="C8" s="87"/>
      <c r="D8" s="87"/>
      <c r="E8" s="88" t="s">
        <v>335</v>
      </c>
      <c r="F8" s="88"/>
      <c r="G8" s="88"/>
      <c r="H8" s="88"/>
      <c r="I8" s="88"/>
      <c r="J8" s="88"/>
      <c r="K8" s="88"/>
      <c r="L8" s="88"/>
    </row>
    <row r="10" spans="1:12" ht="30" customHeight="1" x14ac:dyDescent="0.25">
      <c r="A10" s="70" t="s">
        <v>275</v>
      </c>
      <c r="B10" s="70" t="s">
        <v>276</v>
      </c>
      <c r="C10" s="70" t="s">
        <v>277</v>
      </c>
      <c r="D10" s="70" t="s">
        <v>160</v>
      </c>
      <c r="E10" s="70" t="s">
        <v>336</v>
      </c>
      <c r="F10" s="70" t="s">
        <v>161</v>
      </c>
      <c r="G10" s="70" t="s">
        <v>171</v>
      </c>
      <c r="H10" s="70" t="s">
        <v>288</v>
      </c>
      <c r="I10" s="70" t="s">
        <v>337</v>
      </c>
      <c r="J10" s="70" t="s">
        <v>338</v>
      </c>
      <c r="K10" s="70" t="s">
        <v>339</v>
      </c>
      <c r="L10" s="70" t="s">
        <v>340</v>
      </c>
    </row>
    <row r="11" spans="1:12" ht="57" customHeight="1" x14ac:dyDescent="0.25">
      <c r="A11" s="35">
        <v>1</v>
      </c>
      <c r="B11" s="16" t="s">
        <v>221</v>
      </c>
      <c r="C11" s="36" t="s">
        <v>289</v>
      </c>
      <c r="D11" s="56">
        <f>'4. Statistical Analysis'!E10</f>
        <v>115.24666666666667</v>
      </c>
      <c r="E11" s="38">
        <v>0</v>
      </c>
      <c r="F11" s="38">
        <f>'4. Statistical Analysis'!I10</f>
        <v>240.29333333333332</v>
      </c>
      <c r="G11" s="20">
        <f>'4. Statistical Analysis'!O10</f>
        <v>1.8786666666666667</v>
      </c>
      <c r="H11" s="12" t="str">
        <f>'4. Statistical Analysis'!U10</f>
        <v>Excellent</v>
      </c>
      <c r="I11" s="36" t="s">
        <v>341</v>
      </c>
      <c r="J11" s="11" t="s">
        <v>342</v>
      </c>
      <c r="K11" s="57" t="s">
        <v>343</v>
      </c>
      <c r="L11" s="11" t="s">
        <v>344</v>
      </c>
    </row>
    <row r="12" spans="1:12" ht="45.75" customHeight="1" x14ac:dyDescent="0.25">
      <c r="A12" s="41">
        <v>2</v>
      </c>
      <c r="B12" s="22" t="s">
        <v>222</v>
      </c>
      <c r="C12" s="42" t="s">
        <v>289</v>
      </c>
      <c r="D12" s="58">
        <f>'4. Statistical Analysis'!E11</f>
        <v>161.03333333333333</v>
      </c>
      <c r="E12" s="44">
        <f>'4. Statistical Analysis'!R11</f>
        <v>39.729276334818067</v>
      </c>
      <c r="F12" s="44">
        <f>'4. Statistical Analysis'!I11</f>
        <v>246.61666666666665</v>
      </c>
      <c r="G12" s="26">
        <f>'4. Statistical Analysis'!O11</f>
        <v>1.3201187960687966</v>
      </c>
      <c r="H12" s="15" t="str">
        <f>'4. Statistical Analysis'!U11</f>
        <v>Poor</v>
      </c>
      <c r="I12" s="42" t="s">
        <v>345</v>
      </c>
      <c r="J12" s="14" t="s">
        <v>346</v>
      </c>
      <c r="K12" s="59" t="s">
        <v>347</v>
      </c>
      <c r="L12" s="14" t="s">
        <v>348</v>
      </c>
    </row>
    <row r="13" spans="1:12" ht="45.75" customHeight="1" x14ac:dyDescent="0.25">
      <c r="A13" s="35">
        <v>3</v>
      </c>
      <c r="B13" s="16" t="s">
        <v>223</v>
      </c>
      <c r="C13" s="36" t="s">
        <v>289</v>
      </c>
      <c r="D13" s="56">
        <f>'4. Statistical Analysis'!E12</f>
        <v>167.05333333333331</v>
      </c>
      <c r="E13" s="38">
        <f>'4. Statistical Analysis'!R12</f>
        <v>44.95285474634116</v>
      </c>
      <c r="F13" s="38">
        <f>'4. Statistical Analysis'!I12</f>
        <v>247.13333333333333</v>
      </c>
      <c r="G13" s="20">
        <f>'4. Statistical Analysis'!O12</f>
        <v>1.2700856902356901</v>
      </c>
      <c r="H13" s="12" t="str">
        <f>'4. Statistical Analysis'!U12</f>
        <v>Poor</v>
      </c>
      <c r="I13" s="36" t="s">
        <v>345</v>
      </c>
      <c r="J13" s="11" t="s">
        <v>349</v>
      </c>
      <c r="K13" s="59" t="s">
        <v>347</v>
      </c>
      <c r="L13" s="11" t="s">
        <v>350</v>
      </c>
    </row>
    <row r="14" spans="1:12" ht="45.75" customHeight="1" x14ac:dyDescent="0.25">
      <c r="A14" s="41">
        <v>4</v>
      </c>
      <c r="B14" s="22" t="s">
        <v>225</v>
      </c>
      <c r="C14" s="42" t="s">
        <v>289</v>
      </c>
      <c r="D14" s="58">
        <f>'4. Statistical Analysis'!E13</f>
        <v>171.75</v>
      </c>
      <c r="E14" s="44">
        <f>'4. Statistical Analysis'!R13</f>
        <v>49.028171458321282</v>
      </c>
      <c r="F14" s="44">
        <f>'4. Statistical Analysis'!I13</f>
        <v>247.60333333333332</v>
      </c>
      <c r="G14" s="26">
        <f>'4. Statistical Analysis'!O13</f>
        <v>1.2373101851851869</v>
      </c>
      <c r="H14" s="15" t="str">
        <f>'4. Statistical Analysis'!U13</f>
        <v>Excellent</v>
      </c>
      <c r="I14" s="42" t="s">
        <v>345</v>
      </c>
      <c r="J14" s="14" t="s">
        <v>351</v>
      </c>
      <c r="K14" s="57" t="s">
        <v>343</v>
      </c>
      <c r="L14" s="14" t="s">
        <v>352</v>
      </c>
    </row>
    <row r="15" spans="1:12" ht="45.75" customHeight="1" x14ac:dyDescent="0.25">
      <c r="A15" s="35">
        <v>5</v>
      </c>
      <c r="B15" s="16" t="s">
        <v>226</v>
      </c>
      <c r="C15" s="36" t="s">
        <v>289</v>
      </c>
      <c r="D15" s="56">
        <f>'4. Statistical Analysis'!E14</f>
        <v>173.39333333333332</v>
      </c>
      <c r="E15" s="38">
        <f>'4. Statistical Analysis'!R14</f>
        <v>50.454098455486765</v>
      </c>
      <c r="F15" s="38">
        <f>'4. Statistical Analysis'!I14</f>
        <v>247.75666666666666</v>
      </c>
      <c r="G15" s="20">
        <f>'4. Statistical Analysis'!O14</f>
        <v>1.3217601851851832</v>
      </c>
      <c r="H15" s="12" t="str">
        <f>'4. Statistical Analysis'!U14</f>
        <v>Poor</v>
      </c>
      <c r="I15" s="36" t="s">
        <v>345</v>
      </c>
      <c r="J15" s="11" t="s">
        <v>353</v>
      </c>
      <c r="K15" s="59" t="s">
        <v>347</v>
      </c>
      <c r="L15" s="11" t="s">
        <v>354</v>
      </c>
    </row>
    <row r="16" spans="1:12" ht="45.75" customHeight="1" x14ac:dyDescent="0.25">
      <c r="A16" s="41">
        <v>6</v>
      </c>
      <c r="B16" s="22" t="s">
        <v>227</v>
      </c>
      <c r="C16" s="42" t="s">
        <v>289</v>
      </c>
      <c r="D16" s="58">
        <f>'4. Statistical Analysis'!E15</f>
        <v>173.79999999999998</v>
      </c>
      <c r="E16" s="44">
        <f>'4. Statistical Analysis'!R15</f>
        <v>50.806964771215348</v>
      </c>
      <c r="F16" s="44">
        <f>'4. Statistical Analysis'!I15</f>
        <v>247.80666666666664</v>
      </c>
      <c r="G16" s="26">
        <f>'4. Statistical Analysis'!O15</f>
        <v>1.3242693193193202</v>
      </c>
      <c r="H16" s="15" t="str">
        <f>'4. Statistical Analysis'!U15</f>
        <v>Good</v>
      </c>
      <c r="I16" s="42" t="s">
        <v>345</v>
      </c>
      <c r="J16" s="14" t="s">
        <v>355</v>
      </c>
      <c r="K16" s="60" t="s">
        <v>356</v>
      </c>
      <c r="L16" s="14" t="s">
        <v>357</v>
      </c>
    </row>
    <row r="17" spans="1:12" ht="45.75" customHeight="1" x14ac:dyDescent="0.25">
      <c r="A17" s="35">
        <v>7</v>
      </c>
      <c r="B17" s="16" t="s">
        <v>228</v>
      </c>
      <c r="C17" s="36" t="s">
        <v>289</v>
      </c>
      <c r="D17" s="56">
        <f>'4. Statistical Analysis'!E16</f>
        <v>174.02666666666664</v>
      </c>
      <c r="E17" s="38">
        <f>'4. Statistical Analysis'!R16</f>
        <v>51.003644357031277</v>
      </c>
      <c r="F17" s="38">
        <f>'4. Statistical Analysis'!I16</f>
        <v>247.85</v>
      </c>
      <c r="G17" s="20">
        <f>'4. Statistical Analysis'!O16</f>
        <v>1.2881305555555567</v>
      </c>
      <c r="H17" s="12" t="str">
        <f>'4. Statistical Analysis'!U16</f>
        <v>Poor</v>
      </c>
      <c r="I17" s="36" t="s">
        <v>345</v>
      </c>
      <c r="J17" s="11" t="s">
        <v>358</v>
      </c>
      <c r="K17" s="59" t="s">
        <v>347</v>
      </c>
      <c r="L17" s="11" t="s">
        <v>359</v>
      </c>
    </row>
    <row r="18" spans="1:12" ht="45.75" customHeight="1" x14ac:dyDescent="0.25">
      <c r="A18" s="41">
        <v>8</v>
      </c>
      <c r="B18" s="22" t="s">
        <v>229</v>
      </c>
      <c r="C18" s="42" t="s">
        <v>289</v>
      </c>
      <c r="D18" s="58">
        <f>'4. Statistical Analysis'!E17</f>
        <v>174.81333333333336</v>
      </c>
      <c r="E18" s="44">
        <f>'4. Statistical Analysis'!R17</f>
        <v>51.686238213686607</v>
      </c>
      <c r="F18" s="44">
        <f>'4. Statistical Analysis'!I17</f>
        <v>248.05666666666664</v>
      </c>
      <c r="G18" s="26">
        <f>'4. Statistical Analysis'!O17</f>
        <v>1.3654268468468469</v>
      </c>
      <c r="H18" s="15" t="str">
        <f>'4. Statistical Analysis'!U17</f>
        <v>Good</v>
      </c>
      <c r="I18" s="42" t="s">
        <v>345</v>
      </c>
      <c r="J18" s="14" t="s">
        <v>360</v>
      </c>
      <c r="K18" s="60" t="s">
        <v>356</v>
      </c>
      <c r="L18" s="14" t="s">
        <v>361</v>
      </c>
    </row>
    <row r="19" spans="1:12" ht="45.75" customHeight="1" x14ac:dyDescent="0.25">
      <c r="A19" s="35">
        <v>9</v>
      </c>
      <c r="B19" s="16" t="s">
        <v>230</v>
      </c>
      <c r="C19" s="36" t="s">
        <v>289</v>
      </c>
      <c r="D19" s="56">
        <f>'4. Statistical Analysis'!E18</f>
        <v>175.22666666666669</v>
      </c>
      <c r="E19" s="38">
        <f>'4. Statistical Analysis'!R18</f>
        <v>52.044889223115653</v>
      </c>
      <c r="F19" s="38">
        <f>'4. Statistical Analysis'!I18</f>
        <v>247.97333333333333</v>
      </c>
      <c r="G19" s="20">
        <f>'4. Statistical Analysis'!O18</f>
        <v>1.3040811811811801</v>
      </c>
      <c r="H19" s="12" t="str">
        <f>'4. Statistical Analysis'!U18</f>
        <v>Excellent</v>
      </c>
      <c r="I19" s="36" t="s">
        <v>345</v>
      </c>
      <c r="J19" s="11" t="s">
        <v>362</v>
      </c>
      <c r="K19" s="57" t="s">
        <v>343</v>
      </c>
      <c r="L19" s="11" t="s">
        <v>363</v>
      </c>
    </row>
    <row r="20" spans="1:12" ht="45.75" customHeight="1" x14ac:dyDescent="0.25">
      <c r="A20" s="47">
        <v>10</v>
      </c>
      <c r="B20" s="48" t="s">
        <v>231</v>
      </c>
      <c r="C20" s="49" t="s">
        <v>151</v>
      </c>
      <c r="D20" s="61">
        <f>'4. Statistical Analysis'!E19</f>
        <v>176.29666666666671</v>
      </c>
      <c r="E20" s="51">
        <f>'4. Statistical Analysis'!R19</f>
        <v>52.973332562040873</v>
      </c>
      <c r="F20" s="51">
        <f>'4. Statistical Analysis'!I19</f>
        <v>248.11666666666667</v>
      </c>
      <c r="G20" s="33">
        <f>'4. Statistical Analysis'!O19</f>
        <v>1.3133410910910899</v>
      </c>
      <c r="H20" s="29" t="str">
        <f>'4. Statistical Analysis'!U19</f>
        <v>Good</v>
      </c>
      <c r="I20" s="62" t="s">
        <v>345</v>
      </c>
      <c r="J20" s="63" t="s">
        <v>364</v>
      </c>
      <c r="K20" s="57" t="s">
        <v>343</v>
      </c>
      <c r="L20" s="63" t="s">
        <v>365</v>
      </c>
    </row>
    <row r="21" spans="1:12" ht="45.75" customHeight="1" x14ac:dyDescent="0.25">
      <c r="A21" s="35">
        <v>11</v>
      </c>
      <c r="B21" s="16" t="s">
        <v>232</v>
      </c>
      <c r="C21" s="36" t="s">
        <v>289</v>
      </c>
      <c r="D21" s="56">
        <f>'4. Statistical Analysis'!E20</f>
        <v>176.42</v>
      </c>
      <c r="E21" s="38">
        <f>'4. Statistical Analysis'!R20</f>
        <v>53.080349395499496</v>
      </c>
      <c r="F21" s="38">
        <f>'4. Statistical Analysis'!I20</f>
        <v>248.04666666666671</v>
      </c>
      <c r="G21" s="20">
        <f>'4. Statistical Analysis'!O20</f>
        <v>1.3358296296296299</v>
      </c>
      <c r="H21" s="12" t="str">
        <f>'4. Statistical Analysis'!U20</f>
        <v>Excellent</v>
      </c>
      <c r="I21" s="36" t="s">
        <v>345</v>
      </c>
      <c r="J21" s="11" t="s">
        <v>366</v>
      </c>
      <c r="K21" s="60" t="s">
        <v>356</v>
      </c>
      <c r="L21" s="11" t="s">
        <v>367</v>
      </c>
    </row>
    <row r="22" spans="1:12" ht="45.75" customHeight="1" x14ac:dyDescent="0.25">
      <c r="A22" s="47">
        <v>12</v>
      </c>
      <c r="B22" s="48" t="s">
        <v>233</v>
      </c>
      <c r="C22" s="49" t="s">
        <v>151</v>
      </c>
      <c r="D22" s="61">
        <f>'4. Statistical Analysis'!E21</f>
        <v>177.42</v>
      </c>
      <c r="E22" s="51">
        <f>'4. Statistical Analysis'!R21</f>
        <v>53.94805345056978</v>
      </c>
      <c r="F22" s="51">
        <f>'4. Statistical Analysis'!I21</f>
        <v>248.24</v>
      </c>
      <c r="G22" s="33">
        <f>'4. Statistical Analysis'!O21</f>
        <v>1.3296951058201032</v>
      </c>
      <c r="H22" s="29" t="str">
        <f>'4. Statistical Analysis'!U21</f>
        <v>Good</v>
      </c>
      <c r="I22" s="62" t="s">
        <v>345</v>
      </c>
      <c r="J22" s="63" t="s">
        <v>368</v>
      </c>
      <c r="K22" s="60" t="s">
        <v>356</v>
      </c>
      <c r="L22" s="63" t="s">
        <v>369</v>
      </c>
    </row>
    <row r="23" spans="1:12" ht="45.75" customHeight="1" x14ac:dyDescent="0.25">
      <c r="A23" s="35">
        <v>13</v>
      </c>
      <c r="B23" s="16" t="s">
        <v>234</v>
      </c>
      <c r="C23" s="36" t="s">
        <v>289</v>
      </c>
      <c r="D23" s="56">
        <f>'4. Statistical Analysis'!E22</f>
        <v>177.69666666666663</v>
      </c>
      <c r="E23" s="38">
        <f>'4. Statistical Analysis'!R22</f>
        <v>54.188118239139207</v>
      </c>
      <c r="F23" s="38">
        <f>'4. Statistical Analysis'!I22</f>
        <v>248.18333333333331</v>
      </c>
      <c r="G23" s="20">
        <f>'4. Statistical Analysis'!O22</f>
        <v>1.1855737237237267</v>
      </c>
      <c r="H23" s="12" t="str">
        <f>'4. Statistical Analysis'!U22</f>
        <v>Good</v>
      </c>
      <c r="I23" s="36" t="s">
        <v>345</v>
      </c>
      <c r="J23" s="11" t="s">
        <v>370</v>
      </c>
      <c r="K23" s="57" t="s">
        <v>343</v>
      </c>
      <c r="L23" s="11" t="s">
        <v>371</v>
      </c>
    </row>
    <row r="24" spans="1:12" ht="45.75" customHeight="1" x14ac:dyDescent="0.25">
      <c r="A24" s="41">
        <v>14</v>
      </c>
      <c r="B24" s="22" t="s">
        <v>235</v>
      </c>
      <c r="C24" s="42" t="s">
        <v>289</v>
      </c>
      <c r="D24" s="58">
        <f>'4. Statistical Analysis'!E23</f>
        <v>177.93333333333337</v>
      </c>
      <c r="E24" s="44">
        <f>'4. Statistical Analysis'!R23</f>
        <v>54.393474865505894</v>
      </c>
      <c r="F24" s="44">
        <f>'4. Statistical Analysis'!I23</f>
        <v>248.26333333333332</v>
      </c>
      <c r="G24" s="26">
        <f>'4. Statistical Analysis'!O23</f>
        <v>1.2784407407407399</v>
      </c>
      <c r="H24" s="15" t="str">
        <f>'4. Statistical Analysis'!U23</f>
        <v>Poor</v>
      </c>
      <c r="I24" s="42" t="s">
        <v>345</v>
      </c>
      <c r="J24" s="14" t="s">
        <v>372</v>
      </c>
      <c r="K24" s="59" t="s">
        <v>347</v>
      </c>
      <c r="L24" s="14" t="s">
        <v>373</v>
      </c>
    </row>
    <row r="25" spans="1:12" ht="45.75" customHeight="1" x14ac:dyDescent="0.25">
      <c r="A25" s="35">
        <v>15</v>
      </c>
      <c r="B25" s="16" t="s">
        <v>236</v>
      </c>
      <c r="C25" s="36" t="s">
        <v>289</v>
      </c>
      <c r="D25" s="56">
        <f>'4. Statistical Analysis'!E24</f>
        <v>179.14666666666668</v>
      </c>
      <c r="E25" s="38">
        <f>'4. Statistical Analysis'!R24</f>
        <v>55.446289118991153</v>
      </c>
      <c r="F25" s="38">
        <f>'4. Statistical Analysis'!I24</f>
        <v>248.34333333333333</v>
      </c>
      <c r="G25" s="20">
        <f>'4. Statistical Analysis'!O24</f>
        <v>1.2914801994302001</v>
      </c>
      <c r="H25" s="12" t="str">
        <f>'4. Statistical Analysis'!U24</f>
        <v>Excellent</v>
      </c>
      <c r="I25" s="36" t="s">
        <v>345</v>
      </c>
      <c r="J25" s="11" t="s">
        <v>374</v>
      </c>
      <c r="K25" s="60" t="s">
        <v>356</v>
      </c>
      <c r="L25" s="11" t="s">
        <v>375</v>
      </c>
    </row>
    <row r="26" spans="1:12" ht="45.75" customHeight="1" x14ac:dyDescent="0.25">
      <c r="A26" s="41">
        <v>16</v>
      </c>
      <c r="B26" s="22" t="s">
        <v>237</v>
      </c>
      <c r="C26" s="42" t="s">
        <v>289</v>
      </c>
      <c r="D26" s="58">
        <f>'4. Statistical Analysis'!E25</f>
        <v>179.91</v>
      </c>
      <c r="E26" s="44">
        <f>'4. Statistical Analysis'!R25</f>
        <v>56.108636547694793</v>
      </c>
      <c r="F26" s="44">
        <f>'4. Statistical Analysis'!I25</f>
        <v>248.4366666666667</v>
      </c>
      <c r="G26" s="26">
        <f>'4. Statistical Analysis'!O25</f>
        <v>1.2732361504361502</v>
      </c>
      <c r="H26" s="15" t="str">
        <f>'4. Statistical Analysis'!U25</f>
        <v>Good</v>
      </c>
      <c r="I26" s="42" t="s">
        <v>345</v>
      </c>
      <c r="J26" s="14" t="s">
        <v>376</v>
      </c>
      <c r="K26" s="60" t="s">
        <v>356</v>
      </c>
      <c r="L26" s="14" t="s">
        <v>377</v>
      </c>
    </row>
    <row r="27" spans="1:12" ht="45.75" customHeight="1" x14ac:dyDescent="0.25">
      <c r="A27" s="35">
        <v>17</v>
      </c>
      <c r="B27" s="16" t="s">
        <v>238</v>
      </c>
      <c r="C27" s="36" t="s">
        <v>289</v>
      </c>
      <c r="D27" s="56">
        <f>'4. Statistical Analysis'!E26</f>
        <v>180.88666666666668</v>
      </c>
      <c r="E27" s="38">
        <f>'4. Statistical Analysis'!R26</f>
        <v>56.956094174813451</v>
      </c>
      <c r="F27" s="38">
        <f>'4. Statistical Analysis'!I26</f>
        <v>248.51333333333332</v>
      </c>
      <c r="G27" s="20">
        <f>'4. Statistical Analysis'!O26</f>
        <v>1.2876564814814799</v>
      </c>
      <c r="H27" s="12" t="str">
        <f>'4. Statistical Analysis'!U26</f>
        <v>Excellent</v>
      </c>
      <c r="I27" s="36" t="s">
        <v>345</v>
      </c>
      <c r="J27" s="11" t="s">
        <v>378</v>
      </c>
      <c r="K27" s="60" t="s">
        <v>356</v>
      </c>
      <c r="L27" s="11" t="s">
        <v>379</v>
      </c>
    </row>
    <row r="28" spans="1:12" ht="45.75" customHeight="1" x14ac:dyDescent="0.25">
      <c r="A28" s="41">
        <v>18</v>
      </c>
      <c r="B28" s="22" t="s">
        <v>239</v>
      </c>
      <c r="C28" s="42" t="s">
        <v>289</v>
      </c>
      <c r="D28" s="58">
        <f>'4. Statistical Analysis'!E27</f>
        <v>180.90333333333334</v>
      </c>
      <c r="E28" s="44">
        <f>'4. Statistical Analysis'!R27</f>
        <v>56.970555909064615</v>
      </c>
      <c r="F28" s="44">
        <f>'4. Statistical Analysis'!I27</f>
        <v>248.53</v>
      </c>
      <c r="G28" s="26">
        <f>'4. Statistical Analysis'!O27</f>
        <v>1.2683917667667666</v>
      </c>
      <c r="H28" s="15" t="str">
        <f>'4. Statistical Analysis'!U27</f>
        <v>Excellent</v>
      </c>
      <c r="I28" s="42" t="s">
        <v>345</v>
      </c>
      <c r="J28" s="14" t="s">
        <v>380</v>
      </c>
      <c r="K28" s="60" t="s">
        <v>356</v>
      </c>
      <c r="L28" s="14" t="s">
        <v>379</v>
      </c>
    </row>
    <row r="29" spans="1:12" ht="45.75" customHeight="1" x14ac:dyDescent="0.25">
      <c r="A29" s="35">
        <v>19</v>
      </c>
      <c r="B29" s="16" t="s">
        <v>241</v>
      </c>
      <c r="C29" s="36" t="s">
        <v>289</v>
      </c>
      <c r="D29" s="56">
        <f>'4. Statistical Analysis'!E28</f>
        <v>181</v>
      </c>
      <c r="E29" s="38">
        <f>'4. Statistical Analysis'!R28</f>
        <v>57.054433967721408</v>
      </c>
      <c r="F29" s="38">
        <f>'4. Statistical Analysis'!I28</f>
        <v>248.55999999999997</v>
      </c>
      <c r="G29" s="20">
        <f>'4. Statistical Analysis'!O28</f>
        <v>1.1759931145431135</v>
      </c>
      <c r="H29" s="12" t="str">
        <f>'4. Statistical Analysis'!U28</f>
        <v>Excellent</v>
      </c>
      <c r="I29" s="36" t="s">
        <v>345</v>
      </c>
      <c r="J29" s="11" t="s">
        <v>381</v>
      </c>
      <c r="K29" s="60" t="s">
        <v>356</v>
      </c>
      <c r="L29" s="11" t="s">
        <v>379</v>
      </c>
    </row>
    <row r="30" spans="1:12" ht="45.75" customHeight="1" x14ac:dyDescent="0.25">
      <c r="A30" s="41">
        <v>20</v>
      </c>
      <c r="B30" s="22" t="s">
        <v>242</v>
      </c>
      <c r="C30" s="42" t="s">
        <v>289</v>
      </c>
      <c r="D30" s="58">
        <f>'4. Statistical Analysis'!E29</f>
        <v>181.32333333333335</v>
      </c>
      <c r="E30" s="44">
        <f>'4. Statistical Analysis'!R29</f>
        <v>57.334991612194145</v>
      </c>
      <c r="F30" s="44">
        <f>'4. Statistical Analysis'!I29</f>
        <v>248.58</v>
      </c>
      <c r="G30" s="26">
        <f>'4. Statistical Analysis'!O29</f>
        <v>1.26760402902903</v>
      </c>
      <c r="H30" s="15" t="str">
        <f>'4. Statistical Analysis'!U29</f>
        <v>Excellent</v>
      </c>
      <c r="I30" s="42" t="s">
        <v>345</v>
      </c>
      <c r="J30" s="14" t="s">
        <v>378</v>
      </c>
      <c r="K30" s="60" t="s">
        <v>356</v>
      </c>
      <c r="L30" s="14" t="s">
        <v>379</v>
      </c>
    </row>
    <row r="31" spans="1:12" ht="45.75" customHeight="1" x14ac:dyDescent="0.25">
      <c r="A31" s="35">
        <v>21</v>
      </c>
      <c r="B31" s="16" t="s">
        <v>244</v>
      </c>
      <c r="C31" s="36" t="s">
        <v>289</v>
      </c>
      <c r="D31" s="56">
        <f>'4. Statistical Analysis'!E30</f>
        <v>181.32666666666668</v>
      </c>
      <c r="E31" s="38">
        <f>'4. Statistical Analysis'!R30</f>
        <v>57.337883959044376</v>
      </c>
      <c r="F31" s="38">
        <f>'4. Statistical Analysis'!I30</f>
        <v>248.6</v>
      </c>
      <c r="G31" s="20">
        <f>'4. Statistical Analysis'!O30</f>
        <v>1.2706757007006999</v>
      </c>
      <c r="H31" s="12" t="str">
        <f>'4. Statistical Analysis'!U30</f>
        <v>Excellent</v>
      </c>
      <c r="I31" s="36" t="s">
        <v>345</v>
      </c>
      <c r="J31" s="11" t="s">
        <v>378</v>
      </c>
      <c r="K31" s="60" t="s">
        <v>356</v>
      </c>
      <c r="L31" s="11" t="s">
        <v>379</v>
      </c>
    </row>
    <row r="32" spans="1:12" ht="45.75" customHeight="1" x14ac:dyDescent="0.25">
      <c r="A32" s="41">
        <v>22</v>
      </c>
      <c r="B32" s="22" t="s">
        <v>245</v>
      </c>
      <c r="C32" s="42" t="s">
        <v>289</v>
      </c>
      <c r="D32" s="58">
        <f>'4. Statistical Analysis'!E31</f>
        <v>181.41666666666666</v>
      </c>
      <c r="E32" s="44">
        <f>'4. Statistical Analysis'!R31</f>
        <v>57.415977324000679</v>
      </c>
      <c r="F32" s="44">
        <f>'4. Statistical Analysis'!I31</f>
        <v>248.58666666666667</v>
      </c>
      <c r="G32" s="26">
        <f>'4. Statistical Analysis'!O31</f>
        <v>1.2829225509946436</v>
      </c>
      <c r="H32" s="15" t="str">
        <f>'4. Statistical Analysis'!U31</f>
        <v>Excellent</v>
      </c>
      <c r="I32" s="42" t="s">
        <v>345</v>
      </c>
      <c r="J32" s="14" t="s">
        <v>382</v>
      </c>
      <c r="K32" s="60" t="s">
        <v>356</v>
      </c>
      <c r="L32" s="14" t="s">
        <v>379</v>
      </c>
    </row>
    <row r="33" spans="1:12" ht="45.75" customHeight="1" x14ac:dyDescent="0.25">
      <c r="A33" s="35">
        <v>23</v>
      </c>
      <c r="B33" s="16" t="s">
        <v>246</v>
      </c>
      <c r="C33" s="36" t="s">
        <v>289</v>
      </c>
      <c r="D33" s="56">
        <f>'4. Statistical Analysis'!E32</f>
        <v>181.86333333333332</v>
      </c>
      <c r="E33" s="38">
        <f>'4. Statistical Analysis'!R32</f>
        <v>57.803551801932059</v>
      </c>
      <c r="F33" s="38">
        <f>'4. Statistical Analysis'!I32</f>
        <v>248.61666666666667</v>
      </c>
      <c r="G33" s="20">
        <f>'4. Statistical Analysis'!O32</f>
        <v>1.2786055555555567</v>
      </c>
      <c r="H33" s="12" t="str">
        <f>'4. Statistical Analysis'!U32</f>
        <v>Excellent</v>
      </c>
      <c r="I33" s="36" t="s">
        <v>345</v>
      </c>
      <c r="J33" s="11" t="s">
        <v>383</v>
      </c>
      <c r="K33" s="60" t="s">
        <v>356</v>
      </c>
      <c r="L33" s="11" t="s">
        <v>384</v>
      </c>
    </row>
    <row r="34" spans="1:12" ht="45.75" customHeight="1" x14ac:dyDescent="0.25">
      <c r="A34" s="41">
        <v>24</v>
      </c>
      <c r="B34" s="22" t="s">
        <v>247</v>
      </c>
      <c r="C34" s="42" t="s">
        <v>289</v>
      </c>
      <c r="D34" s="58">
        <f>'4. Statistical Analysis'!E33</f>
        <v>182.09</v>
      </c>
      <c r="E34" s="44">
        <f>'4. Statistical Analysis'!R33</f>
        <v>58.000231387748016</v>
      </c>
      <c r="F34" s="44">
        <f>'4. Statistical Analysis'!I33</f>
        <v>248.80000000000004</v>
      </c>
      <c r="G34" s="26">
        <f>'4. Statistical Analysis'!O33</f>
        <v>1.2811907407407401</v>
      </c>
      <c r="H34" s="15" t="str">
        <f>'4. Statistical Analysis'!U33</f>
        <v>Excellent</v>
      </c>
      <c r="I34" s="42" t="s">
        <v>345</v>
      </c>
      <c r="J34" s="14" t="s">
        <v>385</v>
      </c>
      <c r="K34" s="60" t="s">
        <v>356</v>
      </c>
      <c r="L34" s="14" t="s">
        <v>384</v>
      </c>
    </row>
    <row r="35" spans="1:12" ht="45.75" customHeight="1" x14ac:dyDescent="0.25">
      <c r="A35" s="35">
        <v>25</v>
      </c>
      <c r="B35" s="16" t="s">
        <v>248</v>
      </c>
      <c r="C35" s="36" t="s">
        <v>289</v>
      </c>
      <c r="D35" s="56">
        <f>'4. Statistical Analysis'!E34</f>
        <v>183.22</v>
      </c>
      <c r="E35" s="38">
        <f>'4. Statistical Analysis'!R34</f>
        <v>58.980736969977428</v>
      </c>
      <c r="F35" s="38">
        <f>'4. Statistical Analysis'!I34</f>
        <v>248.74666666666667</v>
      </c>
      <c r="G35" s="20">
        <f>'4. Statistical Analysis'!O34</f>
        <v>1.2735453703703732</v>
      </c>
      <c r="H35" s="12" t="str">
        <f>'4. Statistical Analysis'!U34</f>
        <v>Good</v>
      </c>
      <c r="I35" s="36" t="s">
        <v>345</v>
      </c>
      <c r="J35" s="11" t="s">
        <v>386</v>
      </c>
      <c r="K35" s="60" t="s">
        <v>356</v>
      </c>
      <c r="L35" s="11" t="s">
        <v>387</v>
      </c>
    </row>
    <row r="36" spans="1:12" ht="45.75" customHeight="1" x14ac:dyDescent="0.25">
      <c r="A36" s="41">
        <v>26</v>
      </c>
      <c r="B36" s="22" t="s">
        <v>249</v>
      </c>
      <c r="C36" s="42" t="s">
        <v>289</v>
      </c>
      <c r="D36" s="58">
        <f>'4. Statistical Analysis'!E35</f>
        <v>183.26666666666665</v>
      </c>
      <c r="E36" s="44">
        <f>'4. Statistical Analysis'!R35</f>
        <v>59.021229825880702</v>
      </c>
      <c r="F36" s="44">
        <f>'4. Statistical Analysis'!I35</f>
        <v>248.75666666666666</v>
      </c>
      <c r="G36" s="26">
        <f>'4. Statistical Analysis'!O35</f>
        <v>1.2773175925925901</v>
      </c>
      <c r="H36" s="15" t="str">
        <f>'4. Statistical Analysis'!U35</f>
        <v>Excellent</v>
      </c>
      <c r="I36" s="42" t="s">
        <v>345</v>
      </c>
      <c r="J36" s="14" t="s">
        <v>388</v>
      </c>
      <c r="K36" s="60" t="s">
        <v>356</v>
      </c>
      <c r="L36" s="14" t="s">
        <v>387</v>
      </c>
    </row>
    <row r="37" spans="1:12" ht="45.75" customHeight="1" x14ac:dyDescent="0.25">
      <c r="A37" s="35">
        <v>27</v>
      </c>
      <c r="B37" s="16" t="s">
        <v>250</v>
      </c>
      <c r="C37" s="36" t="s">
        <v>289</v>
      </c>
      <c r="D37" s="56">
        <f>'4. Statistical Analysis'!E36</f>
        <v>183.73333333333332</v>
      </c>
      <c r="E37" s="38">
        <f>'4. Statistical Analysis'!R36</f>
        <v>59.426158384913506</v>
      </c>
      <c r="F37" s="38">
        <f>'4. Statistical Analysis'!I36</f>
        <v>248.82333333333335</v>
      </c>
      <c r="G37" s="20">
        <f>'4. Statistical Analysis'!O36</f>
        <v>1.2524872372372367</v>
      </c>
      <c r="H37" s="12" t="str">
        <f>'4. Statistical Analysis'!U36</f>
        <v>Excellent</v>
      </c>
      <c r="I37" s="36" t="s">
        <v>345</v>
      </c>
      <c r="J37" s="11" t="s">
        <v>389</v>
      </c>
      <c r="K37" s="60" t="s">
        <v>356</v>
      </c>
      <c r="L37" s="11" t="s">
        <v>387</v>
      </c>
    </row>
    <row r="38" spans="1:12" ht="45.75" customHeight="1" x14ac:dyDescent="0.25">
      <c r="A38" s="41">
        <v>28</v>
      </c>
      <c r="B38" s="22" t="s">
        <v>251</v>
      </c>
      <c r="C38" s="42" t="s">
        <v>289</v>
      </c>
      <c r="D38" s="58">
        <f>'4. Statistical Analysis'!E37</f>
        <v>184.25</v>
      </c>
      <c r="E38" s="44">
        <f>'4. Statistical Analysis'!R37</f>
        <v>59.87447214669983</v>
      </c>
      <c r="F38" s="44">
        <f>'4. Statistical Analysis'!I37</f>
        <v>249.04333333333332</v>
      </c>
      <c r="G38" s="26">
        <f>'4. Statistical Analysis'!O37</f>
        <v>1.27328055555556</v>
      </c>
      <c r="H38" s="15" t="str">
        <f>'4. Statistical Analysis'!U37</f>
        <v>Excellent</v>
      </c>
      <c r="I38" s="42" t="s">
        <v>345</v>
      </c>
      <c r="J38" s="14" t="s">
        <v>390</v>
      </c>
      <c r="K38" s="60" t="s">
        <v>356</v>
      </c>
      <c r="L38" s="14" t="s">
        <v>391</v>
      </c>
    </row>
    <row r="39" spans="1:12" ht="45.75" customHeight="1" x14ac:dyDescent="0.25">
      <c r="A39" s="35">
        <v>29</v>
      </c>
      <c r="B39" s="16" t="s">
        <v>252</v>
      </c>
      <c r="C39" s="36" t="s">
        <v>289</v>
      </c>
      <c r="D39" s="56">
        <f>'4. Statistical Analysis'!E38</f>
        <v>184.26666666666665</v>
      </c>
      <c r="E39" s="38">
        <f>'4. Statistical Analysis'!R38</f>
        <v>59.888933880950987</v>
      </c>
      <c r="F39" s="38">
        <f>'4. Statistical Analysis'!I38</f>
        <v>248.85333333333335</v>
      </c>
      <c r="G39" s="20">
        <f>'4. Statistical Analysis'!O38</f>
        <v>1.2549239131989167</v>
      </c>
      <c r="H39" s="12" t="str">
        <f>'4. Statistical Analysis'!U38</f>
        <v>Excellent</v>
      </c>
      <c r="I39" s="36" t="s">
        <v>345</v>
      </c>
      <c r="J39" s="11" t="s">
        <v>392</v>
      </c>
      <c r="K39" s="60" t="s">
        <v>356</v>
      </c>
      <c r="L39" s="11" t="s">
        <v>391</v>
      </c>
    </row>
    <row r="40" spans="1:12" ht="45.75" customHeight="1" x14ac:dyDescent="0.25">
      <c r="A40" s="41">
        <v>30</v>
      </c>
      <c r="B40" s="22" t="s">
        <v>253</v>
      </c>
      <c r="C40" s="42" t="s">
        <v>289</v>
      </c>
      <c r="D40" s="58">
        <f>'4. Statistical Analysis'!E39</f>
        <v>184.44666666666663</v>
      </c>
      <c r="E40" s="44">
        <f>'4. Statistical Analysis'!R39</f>
        <v>60.04512061086362</v>
      </c>
      <c r="F40" s="44">
        <f>'4. Statistical Analysis'!I39</f>
        <v>249.04666666666665</v>
      </c>
      <c r="G40" s="26">
        <f>'4. Statistical Analysis'!O39</f>
        <v>1.2765953703703699</v>
      </c>
      <c r="H40" s="15" t="str">
        <f>'4. Statistical Analysis'!U39</f>
        <v>Excellent</v>
      </c>
      <c r="I40" s="42" t="s">
        <v>345</v>
      </c>
      <c r="J40" s="14" t="s">
        <v>393</v>
      </c>
      <c r="K40" s="60" t="s">
        <v>356</v>
      </c>
      <c r="L40" s="14" t="s">
        <v>391</v>
      </c>
    </row>
    <row r="41" spans="1:12" ht="45.75" customHeight="1" x14ac:dyDescent="0.25">
      <c r="A41" s="35">
        <v>31</v>
      </c>
      <c r="B41" s="16" t="s">
        <v>254</v>
      </c>
      <c r="C41" s="36" t="s">
        <v>289</v>
      </c>
      <c r="D41" s="56">
        <f>'4. Statistical Analysis'!E40</f>
        <v>184.97000000000003</v>
      </c>
      <c r="E41" s="38">
        <f>'4. Statistical Analysis'!R40</f>
        <v>60.499219066350449</v>
      </c>
      <c r="F41" s="38">
        <f>'4. Statistical Analysis'!I40</f>
        <v>248.92333333333332</v>
      </c>
      <c r="G41" s="20">
        <f>'4. Statistical Analysis'!O40</f>
        <v>1.26117685185185</v>
      </c>
      <c r="H41" s="12" t="str">
        <f>'4. Statistical Analysis'!U40</f>
        <v>Excellent</v>
      </c>
      <c r="I41" s="36" t="s">
        <v>345</v>
      </c>
      <c r="J41" s="11" t="s">
        <v>394</v>
      </c>
      <c r="K41" s="60" t="s">
        <v>356</v>
      </c>
      <c r="L41" s="11" t="s">
        <v>395</v>
      </c>
    </row>
    <row r="42" spans="1:12" ht="45.75" customHeight="1" x14ac:dyDescent="0.25">
      <c r="A42" s="41">
        <v>32</v>
      </c>
      <c r="B42" s="22" t="s">
        <v>255</v>
      </c>
      <c r="C42" s="42" t="s">
        <v>289</v>
      </c>
      <c r="D42" s="58">
        <f>'4. Statistical Analysis'!E41</f>
        <v>186.24666666666667</v>
      </c>
      <c r="E42" s="44">
        <f>'4. Statistical Analysis'!R41</f>
        <v>61.60698790999016</v>
      </c>
      <c r="F42" s="44">
        <f>'4. Statistical Analysis'!I41</f>
        <v>249.0566666666667</v>
      </c>
      <c r="G42" s="26">
        <f>'4. Statistical Analysis'!O41</f>
        <v>1.2434081188331201</v>
      </c>
      <c r="H42" s="15" t="str">
        <f>'4. Statistical Analysis'!U41</f>
        <v>Excellent</v>
      </c>
      <c r="I42" s="42" t="s">
        <v>345</v>
      </c>
      <c r="J42" s="14" t="s">
        <v>396</v>
      </c>
      <c r="K42" s="60" t="s">
        <v>356</v>
      </c>
      <c r="L42" s="14" t="s">
        <v>397</v>
      </c>
    </row>
    <row r="43" spans="1:12" ht="45.75" customHeight="1" x14ac:dyDescent="0.25">
      <c r="A43" s="35">
        <v>33</v>
      </c>
      <c r="B43" s="16" t="s">
        <v>256</v>
      </c>
      <c r="C43" s="36" t="s">
        <v>289</v>
      </c>
      <c r="D43" s="56">
        <f>'4. Statistical Analysis'!E42</f>
        <v>186.27666666666664</v>
      </c>
      <c r="E43" s="38">
        <f>'4. Statistical Analysis'!R42</f>
        <v>61.633019031642242</v>
      </c>
      <c r="F43" s="38">
        <f>'4. Statistical Analysis'!I42</f>
        <v>249.07000000000002</v>
      </c>
      <c r="G43" s="20">
        <f>'4. Statistical Analysis'!O42</f>
        <v>1.2553451451451432</v>
      </c>
      <c r="H43" s="12" t="str">
        <f>'4. Statistical Analysis'!U42</f>
        <v>Good</v>
      </c>
      <c r="I43" s="36" t="s">
        <v>345</v>
      </c>
      <c r="J43" s="11" t="s">
        <v>398</v>
      </c>
      <c r="K43" s="60" t="s">
        <v>356</v>
      </c>
      <c r="L43" s="11" t="s">
        <v>397</v>
      </c>
    </row>
    <row r="44" spans="1:12" ht="45.75" customHeight="1" x14ac:dyDescent="0.25">
      <c r="A44" s="41">
        <v>34</v>
      </c>
      <c r="B44" s="22" t="s">
        <v>257</v>
      </c>
      <c r="C44" s="42" t="s">
        <v>289</v>
      </c>
      <c r="D44" s="58">
        <f>'4. Statistical Analysis'!E43</f>
        <v>186.27666666666667</v>
      </c>
      <c r="E44" s="44">
        <f>'4. Statistical Analysis'!R43</f>
        <v>61.633019031642277</v>
      </c>
      <c r="F44" s="44">
        <f>'4. Statistical Analysis'!I43</f>
        <v>249.06666666666669</v>
      </c>
      <c r="G44" s="26">
        <f>'4. Statistical Analysis'!O43</f>
        <v>1.2624611111111099</v>
      </c>
      <c r="H44" s="15" t="str">
        <f>'4. Statistical Analysis'!U43</f>
        <v>Good</v>
      </c>
      <c r="I44" s="42" t="s">
        <v>345</v>
      </c>
      <c r="J44" s="14" t="s">
        <v>398</v>
      </c>
      <c r="K44" s="60" t="s">
        <v>356</v>
      </c>
      <c r="L44" s="14" t="s">
        <v>397</v>
      </c>
    </row>
    <row r="45" spans="1:12" ht="45.75" customHeight="1" x14ac:dyDescent="0.25">
      <c r="A45" s="35">
        <v>35</v>
      </c>
      <c r="B45" s="16" t="s">
        <v>258</v>
      </c>
      <c r="C45" s="36" t="s">
        <v>289</v>
      </c>
      <c r="D45" s="56">
        <f>'4. Statistical Analysis'!E44</f>
        <v>186.62</v>
      </c>
      <c r="E45" s="38">
        <f>'4. Statistical Analysis'!R44</f>
        <v>61.930930757216409</v>
      </c>
      <c r="F45" s="38">
        <f>'4. Statistical Analysis'!I44</f>
        <v>249.17333333333332</v>
      </c>
      <c r="G45" s="20">
        <f>'4. Statistical Analysis'!O44</f>
        <v>1.1686402376060299</v>
      </c>
      <c r="H45" s="12" t="str">
        <f>'4. Statistical Analysis'!U44</f>
        <v>Good</v>
      </c>
      <c r="I45" s="36" t="s">
        <v>345</v>
      </c>
      <c r="J45" s="11" t="s">
        <v>398</v>
      </c>
      <c r="K45" s="60" t="s">
        <v>356</v>
      </c>
      <c r="L45" s="11" t="s">
        <v>397</v>
      </c>
    </row>
    <row r="46" spans="1:12" ht="45.75" customHeight="1" x14ac:dyDescent="0.25">
      <c r="A46" s="41">
        <v>36</v>
      </c>
      <c r="B46" s="22" t="s">
        <v>259</v>
      </c>
      <c r="C46" s="42" t="s">
        <v>289</v>
      </c>
      <c r="D46" s="58">
        <f>'4. Statistical Analysis'!E45</f>
        <v>187.06666666666669</v>
      </c>
      <c r="E46" s="44">
        <f>'4. Statistical Analysis'!R45</f>
        <v>62.318505235147811</v>
      </c>
      <c r="F46" s="44">
        <f>'4. Statistical Analysis'!I45</f>
        <v>249.11666666666665</v>
      </c>
      <c r="G46" s="26">
        <f>'4. Statistical Analysis'!O45</f>
        <v>1.2575833333333335</v>
      </c>
      <c r="H46" s="15" t="str">
        <f>'4. Statistical Analysis'!U45</f>
        <v>Excellent</v>
      </c>
      <c r="I46" s="42" t="s">
        <v>345</v>
      </c>
      <c r="J46" s="14" t="s">
        <v>399</v>
      </c>
      <c r="K46" s="60" t="s">
        <v>356</v>
      </c>
      <c r="L46" s="14" t="s">
        <v>400</v>
      </c>
    </row>
    <row r="47" spans="1:12" ht="45.75" customHeight="1" x14ac:dyDescent="0.25">
      <c r="A47" s="35">
        <v>37</v>
      </c>
      <c r="B47" s="16" t="s">
        <v>260</v>
      </c>
      <c r="C47" s="36" t="s">
        <v>289</v>
      </c>
      <c r="D47" s="56">
        <f>'4. Statistical Analysis'!E46</f>
        <v>191.58</v>
      </c>
      <c r="E47" s="38">
        <f>'4. Statistical Analysis'!R46</f>
        <v>66.234742870365011</v>
      </c>
      <c r="F47" s="38">
        <f>'4. Statistical Analysis'!I46</f>
        <v>249.56333333333336</v>
      </c>
      <c r="G47" s="20">
        <f>'4. Statistical Analysis'!O46</f>
        <v>1.1955252252252266</v>
      </c>
      <c r="H47" s="12" t="str">
        <f>'4. Statistical Analysis'!U46</f>
        <v>Good</v>
      </c>
      <c r="I47" s="36" t="s">
        <v>345</v>
      </c>
      <c r="J47" s="11" t="s">
        <v>401</v>
      </c>
      <c r="K47" s="60" t="s">
        <v>356</v>
      </c>
      <c r="L47" s="11" t="s">
        <v>402</v>
      </c>
    </row>
    <row r="48" spans="1:12" ht="45.75" customHeight="1" x14ac:dyDescent="0.25">
      <c r="A48" s="41">
        <v>38</v>
      </c>
      <c r="B48" s="22" t="s">
        <v>261</v>
      </c>
      <c r="C48" s="42" t="s">
        <v>289</v>
      </c>
      <c r="D48" s="58">
        <f>'4. Statistical Analysis'!E47</f>
        <v>194.65333333333334</v>
      </c>
      <c r="E48" s="44">
        <f>'4. Statistical Analysis'!R47</f>
        <v>68.901486666281016</v>
      </c>
      <c r="F48" s="44">
        <f>'4. Statistical Analysis'!I47</f>
        <v>249.91666666666666</v>
      </c>
      <c r="G48" s="26">
        <f>'4. Statistical Analysis'!O47</f>
        <v>1.3025259259259234</v>
      </c>
      <c r="H48" s="15" t="str">
        <f>'4. Statistical Analysis'!U47</f>
        <v>Good</v>
      </c>
      <c r="I48" s="42" t="s">
        <v>345</v>
      </c>
      <c r="J48" s="14" t="s">
        <v>403</v>
      </c>
      <c r="K48" s="60" t="s">
        <v>356</v>
      </c>
      <c r="L48" s="14" t="s">
        <v>404</v>
      </c>
    </row>
    <row r="49" spans="1:12" ht="45.75" customHeight="1" x14ac:dyDescent="0.25">
      <c r="A49" s="35">
        <v>39</v>
      </c>
      <c r="B49" s="16" t="s">
        <v>263</v>
      </c>
      <c r="C49" s="36" t="s">
        <v>289</v>
      </c>
      <c r="D49" s="56">
        <f>'4. Statistical Analysis'!E48</f>
        <v>195.92666666666665</v>
      </c>
      <c r="E49" s="38">
        <f>'4. Statistical Analysis'!R48</f>
        <v>70.006363163070489</v>
      </c>
      <c r="F49" s="38">
        <f>'4. Statistical Analysis'!I48</f>
        <v>250.07000000000002</v>
      </c>
      <c r="G49" s="20">
        <f>'4. Statistical Analysis'!O48</f>
        <v>1.2990509259259235</v>
      </c>
      <c r="H49" s="12" t="str">
        <f>'4. Statistical Analysis'!U48</f>
        <v>Excellent</v>
      </c>
      <c r="I49" s="36" t="s">
        <v>345</v>
      </c>
      <c r="J49" s="11" t="s">
        <v>405</v>
      </c>
      <c r="K49" s="60" t="s">
        <v>356</v>
      </c>
      <c r="L49" s="11" t="s">
        <v>406</v>
      </c>
    </row>
    <row r="51" spans="1:12" x14ac:dyDescent="0.25">
      <c r="B51" s="89" t="s">
        <v>407</v>
      </c>
      <c r="C51" s="89"/>
      <c r="D51" s="89"/>
      <c r="E51" s="89"/>
      <c r="F51" s="89"/>
      <c r="G51" s="89"/>
      <c r="H51" s="89"/>
      <c r="I51" s="89"/>
      <c r="J51" s="89"/>
      <c r="K51" s="89"/>
      <c r="L51" s="89"/>
    </row>
    <row r="52" spans="1:12" x14ac:dyDescent="0.25">
      <c r="B52" s="75" t="s">
        <v>408</v>
      </c>
      <c r="C52" s="75"/>
      <c r="D52" s="75"/>
      <c r="E52" s="75"/>
      <c r="F52" s="75"/>
      <c r="G52" s="75"/>
      <c r="H52" s="75"/>
      <c r="I52" s="75"/>
      <c r="J52" s="75"/>
      <c r="K52" s="75"/>
      <c r="L52" s="75"/>
    </row>
  </sheetData>
  <mergeCells count="15">
    <mergeCell ref="B2:L2"/>
    <mergeCell ref="B3:D3"/>
    <mergeCell ref="E3:L3"/>
    <mergeCell ref="B4:D4"/>
    <mergeCell ref="E4:L4"/>
    <mergeCell ref="B8:D8"/>
    <mergeCell ref="E8:L8"/>
    <mergeCell ref="B51:L51"/>
    <mergeCell ref="B52:L52"/>
    <mergeCell ref="B5:D5"/>
    <mergeCell ref="E5:L5"/>
    <mergeCell ref="B6:D6"/>
    <mergeCell ref="E6:L6"/>
    <mergeCell ref="B7:D7"/>
    <mergeCell ref="E7:L7"/>
  </mergeCells>
  <dataValidations count="1">
    <dataValidation type="list" allowBlank="1" sqref="K11:K49" xr:uid="{00000000-0002-0000-0500-000000000000}">
      <formula1>"Keep,Test again,Reject,Undecided"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Test Setup</vt:lpstr>
      <vt:lpstr>2. Glossary</vt:lpstr>
      <vt:lpstr>3. Raw Data</vt:lpstr>
      <vt:lpstr>4. Statistical Analysis</vt:lpstr>
      <vt:lpstr>5. Graphs</vt:lpstr>
      <vt:lpstr>6. Verdicts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Alchemy .</cp:lastModifiedBy>
  <cp:revision>1</cp:revision>
  <dcterms:created xsi:type="dcterms:W3CDTF">2026-06-26T14:49:37Z</dcterms:created>
  <dcterms:modified xsi:type="dcterms:W3CDTF">2026-06-27T13:59:08Z</dcterms:modified>
  <dc:language>en-US</dc:language>
</cp:coreProperties>
</file>